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Windows\Dropbox\Barry\Albeda\Beoordeling\Final versie\"/>
    </mc:Choice>
  </mc:AlternateContent>
  <xr:revisionPtr revIDLastSave="0" documentId="13_ncr:1_{29FD20E0-A78B-41A5-93A7-3A3DC985C2D4}" xr6:coauthVersionLast="45" xr6:coauthVersionMax="45" xr10:uidLastSave="{00000000-0000-0000-0000-000000000000}"/>
  <bookViews>
    <workbookView xWindow="-120" yWindow="-120" windowWidth="24240" windowHeight="13140" xr2:uid="{4C366029-9CCE-954C-B43C-81A3834361EC}"/>
  </bookViews>
  <sheets>
    <sheet name="Basis" sheetId="159"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3" i="159" l="1"/>
  <c r="B53" i="159" s="1"/>
  <c r="C119" i="159"/>
  <c r="B119" i="159" s="1"/>
  <c r="C118" i="159"/>
  <c r="B118" i="159" s="1"/>
  <c r="C117" i="159"/>
  <c r="B117" i="159" s="1"/>
  <c r="C116" i="159"/>
  <c r="B116" i="159" s="1"/>
  <c r="C115" i="159"/>
  <c r="B115" i="159" s="1"/>
  <c r="C114" i="159"/>
  <c r="B114" i="159" s="1"/>
  <c r="C113" i="159"/>
  <c r="B113" i="159" s="1"/>
  <c r="C112" i="159"/>
  <c r="B112" i="159" s="1"/>
  <c r="C111" i="159"/>
  <c r="B111" i="159" s="1"/>
  <c r="C110" i="159"/>
  <c r="B110" i="159" s="1"/>
  <c r="C109" i="159"/>
  <c r="B109" i="159" s="1"/>
  <c r="C108" i="159"/>
  <c r="B108" i="159" s="1"/>
  <c r="C107" i="159"/>
  <c r="B107" i="159" s="1"/>
  <c r="C106" i="159"/>
  <c r="B106" i="159" s="1"/>
  <c r="C105" i="159"/>
  <c r="B105" i="159" s="1"/>
  <c r="C104" i="159"/>
  <c r="B104" i="159" s="1"/>
  <c r="C103" i="159"/>
  <c r="B103" i="159" s="1"/>
  <c r="C102" i="159"/>
  <c r="B102" i="159" s="1"/>
  <c r="C101" i="159"/>
  <c r="B101" i="159" s="1"/>
  <c r="C100" i="159"/>
  <c r="B100" i="159" s="1"/>
  <c r="C99" i="159"/>
  <c r="B99" i="159" s="1"/>
  <c r="C98" i="159"/>
  <c r="B98" i="159" s="1"/>
  <c r="C97" i="159"/>
  <c r="B97" i="159" s="1"/>
  <c r="C96" i="159"/>
  <c r="B96" i="159" s="1"/>
  <c r="C95" i="159"/>
  <c r="B95" i="159" s="1"/>
  <c r="C94" i="159"/>
  <c r="B94" i="159" s="1"/>
  <c r="C93" i="159"/>
  <c r="B93" i="159" s="1"/>
  <c r="C92" i="159"/>
  <c r="B92" i="159" s="1"/>
  <c r="C91" i="159"/>
  <c r="B91" i="159" s="1"/>
  <c r="C90" i="159"/>
  <c r="B90" i="159" s="1"/>
  <c r="C89" i="159"/>
  <c r="B89" i="159" s="1"/>
  <c r="C88" i="159"/>
  <c r="B88" i="159" s="1"/>
  <c r="C87" i="159"/>
  <c r="B87" i="159" s="1"/>
  <c r="C86" i="159"/>
  <c r="B86" i="159" s="1"/>
  <c r="C85" i="159"/>
  <c r="B85" i="159" s="1"/>
  <c r="C84" i="159"/>
  <c r="B84" i="159" s="1"/>
  <c r="C83" i="159"/>
  <c r="B83" i="159" s="1"/>
  <c r="C82" i="159"/>
  <c r="B82" i="159" s="1"/>
  <c r="C81" i="159"/>
  <c r="B81" i="159" s="1"/>
  <c r="C80" i="159"/>
  <c r="B80" i="159" s="1"/>
  <c r="C79" i="159"/>
  <c r="B79" i="159" s="1"/>
  <c r="C78" i="159"/>
  <c r="B78" i="159" s="1"/>
  <c r="C77" i="159"/>
  <c r="B77" i="159" s="1"/>
  <c r="C76" i="159"/>
  <c r="B76" i="159" s="1"/>
  <c r="C75" i="159"/>
  <c r="B75" i="159" s="1"/>
  <c r="C74" i="159"/>
  <c r="B74" i="159" s="1"/>
  <c r="C73" i="159"/>
  <c r="B73" i="159" s="1"/>
  <c r="C72" i="159"/>
  <c r="B72" i="159" s="1"/>
  <c r="C71" i="159"/>
  <c r="B71" i="159" s="1"/>
  <c r="C70" i="159"/>
  <c r="B70" i="159" s="1"/>
  <c r="C69" i="159"/>
  <c r="B69" i="159" s="1"/>
  <c r="C68" i="159"/>
  <c r="B68" i="159" s="1"/>
  <c r="C67" i="159"/>
  <c r="B67" i="159" s="1"/>
  <c r="C66" i="159"/>
  <c r="B66" i="159" s="1"/>
  <c r="C65" i="159"/>
  <c r="B65" i="159" s="1"/>
  <c r="C64" i="159"/>
  <c r="B64" i="159" s="1"/>
  <c r="C63" i="159"/>
  <c r="B63" i="159" s="1"/>
  <c r="C62" i="159"/>
  <c r="B62" i="159" s="1"/>
  <c r="C61" i="159"/>
  <c r="B61" i="159" s="1"/>
  <c r="C60" i="159"/>
  <c r="B60" i="159" s="1"/>
  <c r="C59" i="159"/>
  <c r="B59" i="159" s="1"/>
  <c r="C58" i="159"/>
  <c r="B58" i="159" s="1"/>
  <c r="C57" i="159"/>
  <c r="B57" i="159" s="1"/>
  <c r="C54" i="159"/>
  <c r="B54" i="159" s="1"/>
  <c r="C55" i="159"/>
  <c r="B55" i="159" s="1"/>
  <c r="C56" i="159"/>
  <c r="B56" i="159" s="1"/>
  <c r="B1" i="159" l="1" a="1"/>
  <c r="B1" i="159" s="1"/>
  <c r="F40" i="159" a="1"/>
  <c r="E40" i="159" a="1"/>
  <c r="G40" i="159" a="1"/>
  <c r="F40" i="159" l="1"/>
  <c r="G40" i="159"/>
  <c r="E40" i="159"/>
  <c r="H40" i="159" l="1"/>
  <c r="H41" i="159" s="1"/>
  <c r="D41" i="159"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<sst xmlns="http://schemas.openxmlformats.org/spreadsheetml/2006/main" count="236" uniqueCount="114">
  <si>
    <t>B1-K1: Realiseert software</t>
  </si>
  <si>
    <t>Entree</t>
  </si>
  <si>
    <t xml:space="preserve">Junior </t>
  </si>
  <si>
    <t xml:space="preserve">Medior </t>
  </si>
  <si>
    <t>Senior</t>
  </si>
  <si>
    <t>De eisen en wensen zijn verwerkt (in de user stories.)</t>
  </si>
  <si>
    <t>Niet of nauwelijks</t>
  </si>
  <si>
    <t>Weinig</t>
  </si>
  <si>
    <t>Grotendeels</t>
  </si>
  <si>
    <t>Volledig</t>
  </si>
  <si>
    <t>De junior plant de werkzaamheden volgens de instructie en monitort de voortgang op afgesproken tijden. De opdrachtgever is de docent.</t>
  </si>
  <si>
    <t>De medior plant de werkzaamheden op basis van de eenvoudige eisen en wensen. De medior monitort de voortgang op afgesproken tijden en informeert tussentijds bij teamleden naar de voortgang. De opdrachtgever kan een klant zijn of een docent.</t>
  </si>
  <si>
    <t xml:space="preserve">De senior plant de werkzaamheden op basis van de verschillende eisen en wensen. De senior monitort de voortgang en stemt af op de moeilijkheid van het proces en/of de cruciale momenten.
</t>
  </si>
  <si>
    <t>(De user stories /eisen en wensen)voldoen aan de criteria (wie, wat, waarom en realistisch).</t>
  </si>
  <si>
    <t>B1-K1-W2: Ontwerpt software</t>
  </si>
  <si>
    <t>De user stories zijn vertaald naar een passend, eenduidig en volledig ontwerp (sluit aan op wensen en eisen).</t>
  </si>
  <si>
    <t>De junior ontwerpt software op basis van de gestelde eisen. De techniek is uitgevoerd zoals gevraagd en is enkelvoudig. De keuzes die de junior maakt zijn gebaseerd op de vooraf opgestelde kwaliteitseisen. De opdrachtgever is de docent.</t>
  </si>
  <si>
    <t>De medior ontwerpt software  op basis van de aangeleverde eisen en wensen en op basis van het gesprek met de klant. De keuzes die hij/zij maakt zijn gebaseerd op vooraf opgestelde kwaliteitseisen. De opdrachtgever kan een klant zijn of een docent.</t>
  </si>
  <si>
    <t xml:space="preserve">De senior haalt de complexe wensen en eisen voor het ontwerp op bij de klant en vertaald deze naar een ontwerp. De gestelde eisen en wensen komen terug in het ontwerp. De senior onderbouwt aan de klant de keuzes die hij/zij gemaakt. 
</t>
  </si>
  <si>
    <t>Er is gebruik gemaakt van relevante of toepasselijke schematechnieken (bijv. activiteiten diagram, klassendiagram, erd).</t>
  </si>
  <si>
    <t>De gemaakte keuzes in het ontwerp zijn onderbouwd met steekhoudende argumenten, (waarbij rekening is gehouden met bijv. ethiek, privacy en security).</t>
  </si>
  <si>
    <t>B1-K1-W3: Realiseert (onderdelen van) software</t>
  </si>
  <si>
    <t>Er is voldoende inhoud van de eisen en wensen/user stories gerealiseerd binnen de gestelde/ geplande tijd. (Zie de 11 eisen in Learning Matters)</t>
  </si>
  <si>
    <t>Bronbestanden</t>
  </si>
  <si>
    <t>De junior realiseert de software aan de hand van de enkelvoudige opgestelde eisen en wensen. De junior werkt volgens de instructie aan onderdelen van de software. Hij/zij houdt de verschillende versies bij en overlegt regelmatig met de leidinggevende over de voortgang van het proces. De junior bepaalt met de leidinggevende de prioriteiten. De opdrachtgever is de docent.</t>
  </si>
  <si>
    <t>De medior realiseert de software aan de hand van de meervoudige opgestelde eisen. De medior vraagt de klant naar zijn eisen en wensen. De medior werkt aan de hand van de instructie en zijn eigen planning aan de software. Hij/zij houdt de verschillende versies bij en houdt zelfstandig de voortgang bij.  De medior overlegt met de leidinggevende over de prioriteiten in het proces. De opdrachtgever kan een klein bedrijf zijn of een docent.</t>
  </si>
  <si>
    <t>De senior realiseert de complexe software aan de hand van de opgehaalde eisen en wensen van de klant. Hij/zij bevraagt de klant. De senior werkt zelfstandig aan de opdracht en checkt regelmatig of deze aan de gestelde eisen voldoet. Hij/zij kan zelfstandig prioriteiten aangeven in het proces om de software te realiseren. De opdrachtgever heeft een complexe vraag en is een groot bedrijf.</t>
  </si>
  <si>
    <t>De opgeleverde user stories voldoen aan alle eisen en wensen zoals omschreven in de betreffende user storie.</t>
  </si>
  <si>
    <t xml:space="preserve">De kwaliteit van de code is goed. Dit uit zich onder andere in: validatie, efficiënt, (foutafhandeling en terugkoppeling, security (veilig programmeren)). </t>
  </si>
  <si>
    <t>De code is gestructureerd opgesteld volgens code conventions.</t>
  </si>
  <si>
    <t>De code is verzorgd, leesbaar, gestructureerd en voorzien van zinvol commentaar</t>
  </si>
  <si>
    <t>Versiebeheer is effectief toegepast.</t>
  </si>
  <si>
    <t>De voortgang is bewaakt en de juiste keuzes/afwegingen zijn gemaakt op basis van prioriteiten.</t>
  </si>
  <si>
    <t>B1-K1-W4: Test software</t>
  </si>
  <si>
    <t>De testcases in het testplan sluiten aan op de user stories en bevatten alle scenario's.</t>
  </si>
  <si>
    <t>De junior test aan de hand van een gedetailleerd stappenplan de software. Dit legt hij/zij vast in een testrapport volgens een vast format. De junior bespreekt met de leidinggevende het resultaat en de conclusie van de test.</t>
  </si>
  <si>
    <t>De medior test de software waarbij hij/zij een globaal stappenplan volgt. De resultaten en conclusies van de test legt hij/zij vast in een testrapport volgens een vast format. De medior presenteert het rapport aan de leidinggevende.</t>
  </si>
  <si>
    <t>De senior test de complexe software aan de hand van de gestelde kwaliteitseisen. De resultaten van de test legt hij/zij vast in een testrapport waarbij de conclusie en het resultaat zijn benoemd. De senior presenteert dit rapport aan de opdrachtgever.</t>
  </si>
  <si>
    <r>
      <t xml:space="preserve">Alle stappen, het gewenste resultaat en testdata is benoemd. Niet alleen hoofdscenario, maar ook alternatieve paden. </t>
    </r>
    <r>
      <rPr>
        <sz val="11"/>
        <color rgb="FF757171"/>
        <rFont val="Calibri"/>
        <family val="2"/>
        <scheme val="minor"/>
      </rPr>
      <t> </t>
    </r>
  </si>
  <si>
    <t>Het testrapport bevat alle resultaten en conclusies.</t>
  </si>
  <si>
    <t>B1-K1-W5: Doet verbetervoorstellen voor de software</t>
  </si>
  <si>
    <t>De juiste verbetervoorstellen zijn gedaan vanuit de integratietest.</t>
  </si>
  <si>
    <t>De verbetervoorstellen zijn eenvoudig en met één technische handeling op te lossen. De docent controleert de verbetervoorstellen, de junior kan de relatie leggen tussen de test en de verbetervoorstellen.</t>
  </si>
  <si>
    <t>De verbetervoorstellen zijn meervoudig en met verschillende technische handelingen op te lossen. De medior presenteert aan de leidinggevende de verbetervoorstellen. Vervolgens presenteert hij/zij de verbetervoorstellen aan de klant.</t>
  </si>
  <si>
    <t>De verbetervoorstellen zijn complex. De senior is verantwoordelijk voor de verbetervoorstellen en presenteert deze aan de klant.</t>
  </si>
  <si>
    <t>De juiste verbetervoorstellen zijn gedaan vanuit de oplevering.</t>
  </si>
  <si>
    <t>B1-K2: Werkt in een ontwikkelteam</t>
  </si>
  <si>
    <t>B1-K2-W1: Voert overleg</t>
  </si>
  <si>
    <t xml:space="preserve">De kandidaat heeft een actieve deelname waarbij relevante onderwerpen worden ingebracht en de juiste vragen worden gesteld. </t>
  </si>
  <si>
    <t xml:space="preserve">De junior is volgend in het overleg, hij/zij neemt deel. Hij geeft antwoord op de gestelde vragen met betrekking tot de planning. De junior volgt de planning en houdt zich aan de gemaakte afspraken. Bij het niet behalen van de deadline meldt hij/zij dat in het overleg. </t>
  </si>
  <si>
    <t xml:space="preserve">De medior neemt actief deel aan het overleg. Hij/zij stelt vragen over zijn/haar uit te voeren werkzaamheden. Tussentijds stemt de medior af met teamleden en opdrachtgever indien hij/zij tegen knelpunten aanloopt of bij vragen die behoren bij zijn/haar werkzaamheden. De medior geeft aan teamleden en opdrachtgever aan dat de deadline niet behaald gaat worden en geeft aan wanneer het werk dan wel af is. </t>
  </si>
  <si>
    <t xml:space="preserve">De senior neemt actief deel aan het overleg. Hij stelt vragen en draagt oplossingen of ideeën aan over het project in zijn totaliteit. De senior weet de voortgang van alle teamleden. De senior helpt teamleden om de deadlines te behalen en het project goed af te ronden zonder daarbij zijn eigen werkzaamheden te verwaarlozen. </t>
  </si>
  <si>
    <t>De kandidaat stemt regelmatig en tijdig af met projectteamleden en opdrachtgever over de voortgang en eventuele knelpunten.</t>
  </si>
  <si>
    <t>De gemaakte afspraken zijn eenduidig vastgelegd.</t>
  </si>
  <si>
    <t>De kandidaat houdt zich aan gemaakte afspraken</t>
  </si>
  <si>
    <t>B1-K2-W2: Presenteert het opgeleverde werk</t>
  </si>
  <si>
    <t>De kandidaat presenteert een overtuigend, duidelijk, beargumenteerd verhaal, afgestemd op doelgroep.</t>
  </si>
  <si>
    <t>De junior presenteert het opgeleverde werk, geeft aan hoe dat werk tot stand is gekomen en richt de informatie op de leidinggevende. Na de presentatie checkt de junior of de leidinggevende het verhaal begrepen heeft en of hij nog vragen heeft. Tot slot luistert de junior naar de reactie van de leidinggevende.</t>
  </si>
  <si>
    <t>De medior presenteert het werk, geeft aan welke keuzes hij/zij gemaakt heeft om tot het eindproduct te komen en richt zich op de opdrachtgever. Tijdens de presentatie heeft de medior interactie met de betrokkenen en reageert hij/zij op vragen van de betrokkenen. De medior luistert naar de feedback en reageert op de feedback door aan te geven wat hij/zij ermee gaat doen.</t>
  </si>
  <si>
    <t>De senior presenteert het eindproduct, geeft aan waarom hij/zij welke keuzes heeft gemaakt om tot het eindresultaat te komen. De senior gaat in op vragen en stelt gericht vragen aan de betrokkenen, hij/zij betrekt zijn teamleden bij de presentatie.  De senior luistert naar de feedback, stelt vragen ter verduidelijking en komt met mogelijke oplossingen en verkent deze met de opdrachtgever.</t>
  </si>
  <si>
    <t>De kandidaat stelt gerichte vragen om te controleren of de betrokkenen goed geïnformeerd zijn over het opgeleverde werk.</t>
  </si>
  <si>
    <t>De kandidaat reageert adequaat op feedback.</t>
  </si>
  <si>
    <t xml:space="preserve">B1-K2-W3: Reflecteert op het werk </t>
  </si>
  <si>
    <t>De kandidaat benoemt zowel positieve als verbeterpunten van het proces van zowel eigen als teamprestaties.</t>
  </si>
  <si>
    <t>De junior reflecteert op deeltaken van het gehele proces, zowel op zijn eigen prestaties als op de teamprestaties. Hij/zij benoemt minstens 1 succes en 1 verbeterpunt. De junior luistert naar de feedback en reageert vanuit zijn eigen rol op de feedback.</t>
  </si>
  <si>
    <t>De medior reflecteert op deeltaken van het gehele proces, zowel op zijn eigen prestaties als op de teamprestaties. Hij/zij kan meerdere successen en verbeterpunten benoemen. De medior luistert naar de feedback en reageert met een vraag of een mogelijke aanpassing.</t>
  </si>
  <si>
    <t>De senior reflecteert op het gehele proces, zowel op zijn eigen prestaties als op de teamprestaties. Hij/zij kan concrete handelingen/incidenten benoemen als succes of verbeterpunt. De senior luistert naar de feedback en reageert door vragen te stellen om de feedback te verduidelijken voor het team. Hij/zij kan de feedback vertalen naar mogelijke verbeteringen.</t>
  </si>
  <si>
    <t>De kandidaat reageert adequaat op de ontvangen feedback.</t>
  </si>
  <si>
    <t>Aantal</t>
  </si>
  <si>
    <t>CIJFERTABEL</t>
  </si>
  <si>
    <t>Voldoende</t>
  </si>
  <si>
    <t>Toets</t>
  </si>
  <si>
    <t>Normering</t>
  </si>
  <si>
    <t>Normeringsterm 1,0</t>
  </si>
  <si>
    <t>Score</t>
  </si>
  <si>
    <t xml:space="preserve">Cijfer </t>
  </si>
  <si>
    <t xml:space="preserve">CTRL+ALT+SHIFT+F9 </t>
  </si>
  <si>
    <t>Refresh</t>
  </si>
  <si>
    <t>B1-K1-W1: Plant werkzaamheden en bewaakt de voortgang                                                                                  Maak achtergrond geel bij te kiezen score.</t>
  </si>
  <si>
    <t>Totaalscore</t>
  </si>
  <si>
    <t>Percentage %</t>
  </si>
  <si>
    <t>%</t>
  </si>
  <si>
    <t xml:space="preserve">Algemene vakken </t>
  </si>
  <si>
    <t>Cijfer</t>
  </si>
  <si>
    <t xml:space="preserve">Nederlands </t>
  </si>
  <si>
    <t>Luisteren</t>
  </si>
  <si>
    <t>Spreken</t>
  </si>
  <si>
    <t>Schrijven</t>
  </si>
  <si>
    <t>Lezen</t>
  </si>
  <si>
    <t>Gesprekken</t>
  </si>
  <si>
    <t>Rekenen</t>
  </si>
  <si>
    <t xml:space="preserve">Getallen </t>
  </si>
  <si>
    <t>Verhoudingen</t>
  </si>
  <si>
    <t>Meten en  Meetkunde</t>
  </si>
  <si>
    <t>Verbanden</t>
  </si>
  <si>
    <t>Engels</t>
  </si>
  <si>
    <t xml:space="preserve">Burgerschap </t>
  </si>
  <si>
    <t>Politiek juridische dimensie</t>
  </si>
  <si>
    <t>Economische dimensie</t>
  </si>
  <si>
    <t>Sociaal- maatschappelijke dimensie</t>
  </si>
  <si>
    <t>Vitaal burgerschap dimensie</t>
  </si>
  <si>
    <t>SLOB</t>
  </si>
  <si>
    <t>Userstories</t>
  </si>
  <si>
    <t>Project 2: Dynamische website</t>
  </si>
  <si>
    <r>
      <t>De juiste verbetervoorstellen zijn gedaan vanuit de reflectie.</t>
    </r>
    <r>
      <rPr>
        <sz val="8"/>
        <rFont val="Calibri"/>
        <family val="2"/>
        <scheme val="minor"/>
      </rPr>
      <t> </t>
    </r>
  </si>
  <si>
    <t>Retrospective</t>
  </si>
  <si>
    <t>Sprintreview (presentatie)</t>
  </si>
  <si>
    <t>66,0 punten</t>
  </si>
  <si>
    <t>Totaal aantal punten</t>
  </si>
  <si>
    <t>ERD/Userstories/Wireframes</t>
  </si>
  <si>
    <t>Daily scrum/Sprint backlog/Product backlog/Scrumboard</t>
  </si>
  <si>
    <t>Sprintreview</t>
  </si>
  <si>
    <t>Product backlog/Scrumboard/Definition of Fun/Definition of Done</t>
  </si>
  <si>
    <t>Sprintreview/Retrospective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</si>
</sst>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font>
      <sz val="12"/>
      <color theme="1"/>
      <name val="Calibri"/>
      <family val="2"/>
      <scheme val="minor"/>
    </font>
    <font>
      <sz val="11"/>
      <color theme="1"/>
      <name val="Calibri"/>
      <family val="2"/>
      <scheme val="minor"/>
    </font>
    <font>
      <b/>
      <i/>
      <sz val="11"/>
      <color theme="1"/>
      <name val="Calibri"/>
      <family val="2"/>
      <scheme val="minor"/>
    </font>
    <font>
      <b/>
      <sz val="18"/>
      <color theme="1"/>
      <name val="Calibri"/>
      <family val="2"/>
      <scheme val="minor"/>
    </font>
    <font>
      <b/>
      <sz val="11"/>
      <color theme="0"/>
      <name val="Calibri"/>
      <family val="2"/>
      <scheme val="minor"/>
    </font>
    <font>
      <sz val="12"/>
      <color theme="0" tint="-0.34998626667073579"/>
      <name val="Calibri"/>
      <family val="2"/>
      <scheme val="minor"/>
    </font>
    <font>
      <sz val="12"/>
      <name val="Calibri"/>
      <family val="2"/>
      <scheme val="minor"/>
    </font>
    <font>
      <b/>
      <sz val="18"/>
      <color theme="0"/>
      <name val="Calibri"/>
      <family val="2"/>
      <scheme val="minor"/>
    </font>
    <font>
      <b/>
      <sz val="12"/>
      <color theme="0"/>
      <name val="Calibri"/>
      <family val="2"/>
      <scheme val="minor"/>
    </font>
    <font>
      <b/>
      <sz val="12"/>
      <name val="Calibri"/>
      <family val="2"/>
      <scheme val="minor"/>
    </font>
    <font>
      <b/>
      <sz val="18"/>
      <name val="Calibri"/>
      <family val="2"/>
      <scheme val="minor"/>
    </font>
    <font>
      <sz val="11"/>
      <color rgb="FF757171"/>
      <name val="Calibri"/>
      <family val="2"/>
      <scheme val="minor"/>
    </font>
    <font>
      <sz val="14"/>
      <color theme="1"/>
      <name val="Calibri"/>
      <family val="2"/>
      <scheme val="minor"/>
    </font>
    <font>
      <b/>
      <i/>
      <sz val="14"/>
      <color theme="1"/>
      <name val="Calibri"/>
      <family val="2"/>
      <scheme val="minor"/>
    </font>
    <font>
      <b/>
      <sz val="14"/>
      <color theme="1"/>
      <name val="Calibri"/>
      <family val="2"/>
      <scheme val="minor"/>
    </font>
    <font>
      <b/>
      <sz val="11"/>
      <color theme="1"/>
      <name val="Calibri"/>
      <family val="2"/>
      <scheme val="minor"/>
    </font>
    <font>
      <b/>
      <sz val="12"/>
      <color theme="1"/>
      <name val="Calibri"/>
      <family val="2"/>
      <scheme val="minor"/>
    </font>
    <font>
      <b/>
      <sz val="11"/>
      <color rgb="FF000000"/>
      <name val="Calibri"/>
      <family val="2"/>
      <scheme val="minor"/>
    </font>
    <font>
      <b/>
      <sz val="11"/>
      <color rgb="FFAEAAAA"/>
      <name val="Calibri"/>
      <family val="2"/>
      <scheme val="minor"/>
    </font>
    <font>
      <b/>
      <sz val="11"/>
      <color rgb="FFF2F2F2"/>
      <name val="Calibri"/>
      <family val="2"/>
      <scheme val="minor"/>
    </font>
    <font>
      <b/>
      <sz val="11"/>
      <color rgb="FF757171"/>
      <name val="Calibri"/>
      <family val="2"/>
      <scheme val="minor"/>
    </font>
    <font>
      <sz val="8"/>
      <name val="Calibri"/>
      <family val="2"/>
      <scheme val="minor"/>
    </font>
    <font>
      <sz val="12"/>
      <color theme="6"/>
      <name val="Calibri"/>
      <family val="2"/>
      <scheme val="minor"/>
    </font>
    <font>
      <b/>
      <sz val="11"/>
      <color theme="6"/>
      <name val="Calibri"/>
      <family val="2"/>
      <scheme val="minor"/>
    </font>
    <font>
      <b/>
      <sz val="12"/>
      <color theme="6"/>
      <name val="Calibri"/>
      <family val="2"/>
      <scheme val="minor"/>
    </font>
    <font>
      <sz val="12"/>
      <color rgb="FF000000"/>
      <name val="Calibri"/>
      <family val="2"/>
    </font>
    <font>
      <u/>
      <sz val="12"/>
      <color theme="10"/>
      <name val="Calibri"/>
      <family val="2"/>
      <scheme val="minor"/>
    </font>
    <font>
      <b/>
      <u/>
      <sz val="18"/>
      <color theme="0"/>
      <name val="Calibri"/>
      <family val="2"/>
      <scheme val="minor"/>
    </font>
    <font>
      <b/>
      <sz val="11"/>
      <name val="Calibri"/>
      <family val="2"/>
      <scheme val="minor"/>
    </font>
    <font>
      <b/>
      <sz val="14"/>
      <color rgb="FFFF0000"/>
      <name val="Calibri"/>
      <family val="2"/>
      <scheme val="minor"/>
    </font>
    <font>
      <sz val="14"/>
      <color rgb="FFFF0000"/>
      <name val="Calibri"/>
      <family val="2"/>
      <scheme val="minor"/>
    </font>
    <font>
      <b/>
      <sz val="14"/>
      <name val="Calibri"/>
      <family val="2"/>
      <scheme val="minor"/>
    </font>
    <font>
      <b/>
      <sz val="14"/>
      <name val="-Apple-System"/>
      <charset val="1"/>
    </font>
    <font>
      <sz val="14"/>
      <name val="-Apple-System"/>
      <charset val="1"/>
    </font>
    <font>
      <sz val="14"/>
      <name val="Calibri"/>
      <family val="2"/>
      <scheme val="minor"/>
    </font>
    <font>
      <b/>
      <sz val="14"/>
      <name val="Apple"/>
    </font>
  </fonts>
  <fills count="7">
    <fill>
      <patternFill patternType="none"/>
    </fill>
    <fill>
      <patternFill patternType="gray125"/>
    </fill>
    <fill>
      <patternFill patternType="solid">
        <fgColor rgb="FF095B19"/>
        <bgColor indexed="64"/>
      </patternFill>
    </fill>
    <fill>
      <patternFill patternType="solid">
        <fgColor rgb="FFFFFFFF"/>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2">
    <xf numFmtId="0" fontId="0" fillId="0" borderId="0"/>
    <xf numFmtId="0" fontId="26" fillId="0" borderId="0" applyNumberFormat="0" applyFill="0" applyBorder="0" applyAlignment="0" applyProtection="0"/>
  </cellStyleXfs>
  <cellXfs count="139">
    <xf numFmtId="0" fontId="0" fillId="0" borderId="0" xfId="0"/>
    <xf numFmtId="0" fontId="0" fillId="0" borderId="0" xfId="0" applyAlignment="1">
      <alignment wrapText="1"/>
    </xf>
    <xf numFmtId="0" fontId="0" fillId="0" borderId="1" xfId="0" applyBorder="1" applyAlignment="1">
      <alignment horizontal="left" wrapText="1"/>
    </xf>
    <xf numFmtId="0" fontId="0" fillId="0" borderId="0" xfId="0" applyAlignment="1">
      <alignment horizontal="left" wrapText="1"/>
    </xf>
    <xf numFmtId="0" fontId="0" fillId="0" borderId="0" xfId="0" applyAlignment="1">
      <alignment horizontal="left" vertical="center" wrapText="1"/>
    </xf>
    <xf numFmtId="0" fontId="3" fillId="0" borderId="0" xfId="0" applyFont="1"/>
    <xf numFmtId="0" fontId="0" fillId="0" borderId="0" xfId="0" applyBorder="1" applyAlignment="1">
      <alignment wrapText="1"/>
    </xf>
    <xf numFmtId="0" fontId="2" fillId="0" borderId="0" xfId="0" applyFont="1" applyBorder="1" applyAlignment="1">
      <alignment wrapText="1"/>
    </xf>
    <xf numFmtId="0" fontId="0" fillId="0" borderId="0" xfId="0" applyBorder="1" applyAlignment="1">
      <alignment horizontal="left" wrapText="1"/>
    </xf>
    <xf numFmtId="0" fontId="6" fillId="0" borderId="0" xfId="0" applyFont="1"/>
    <xf numFmtId="0" fontId="0" fillId="0" borderId="3" xfId="0" applyBorder="1" applyAlignment="1">
      <alignment wrapText="1"/>
    </xf>
    <xf numFmtId="0" fontId="5" fillId="0" borderId="10" xfId="0" applyFont="1" applyBorder="1" applyAlignment="1">
      <alignment wrapText="1"/>
    </xf>
    <xf numFmtId="0" fontId="5" fillId="0" borderId="3" xfId="0" applyFont="1" applyBorder="1" applyAlignment="1">
      <alignment wrapText="1"/>
    </xf>
    <xf numFmtId="0" fontId="7" fillId="2" borderId="9" xfId="0" applyFont="1" applyFill="1" applyBorder="1" applyAlignment="1">
      <alignment horizontal="center" wrapText="1"/>
    </xf>
    <xf numFmtId="0" fontId="7" fillId="2" borderId="15" xfId="0" applyFont="1" applyFill="1" applyBorder="1" applyAlignment="1">
      <alignment horizontal="center" wrapText="1"/>
    </xf>
    <xf numFmtId="0" fontId="8" fillId="2" borderId="3" xfId="0" applyFont="1" applyFill="1" applyBorder="1" applyAlignment="1">
      <alignment wrapText="1"/>
    </xf>
    <xf numFmtId="0" fontId="8" fillId="2" borderId="1" xfId="0" applyFont="1" applyFill="1" applyBorder="1" applyAlignment="1">
      <alignment horizontal="left" wrapText="1"/>
    </xf>
    <xf numFmtId="0" fontId="8" fillId="0" borderId="0" xfId="0" applyFont="1" applyFill="1"/>
    <xf numFmtId="0" fontId="7" fillId="2" borderId="14" xfId="0" applyFont="1" applyFill="1" applyBorder="1" applyAlignment="1">
      <alignment horizontal="center" vertical="center" wrapText="1"/>
    </xf>
    <xf numFmtId="0" fontId="7" fillId="2" borderId="10" xfId="0" applyFont="1" applyFill="1" applyBorder="1" applyAlignment="1">
      <alignment horizontal="center" vertical="center" wrapText="1"/>
    </xf>
    <xf numFmtId="0" fontId="8" fillId="2" borderId="21" xfId="0" applyFont="1" applyFill="1" applyBorder="1" applyAlignment="1">
      <alignment wrapText="1"/>
    </xf>
    <xf numFmtId="0" fontId="8" fillId="2" borderId="20" xfId="0" applyFont="1" applyFill="1" applyBorder="1" applyAlignment="1">
      <alignment wrapText="1"/>
    </xf>
    <xf numFmtId="0" fontId="8" fillId="2" borderId="22" xfId="0" applyFont="1" applyFill="1" applyBorder="1" applyAlignment="1">
      <alignment wrapText="1"/>
    </xf>
    <xf numFmtId="0" fontId="9" fillId="0" borderId="0" xfId="0" applyFont="1" applyFill="1"/>
    <xf numFmtId="0" fontId="6" fillId="0" borderId="0" xfId="0" applyFont="1" applyAlignment="1">
      <alignment horizontal="left" vertical="center" wrapText="1"/>
    </xf>
    <xf numFmtId="0" fontId="3" fillId="0" borderId="0" xfId="0" applyFont="1" applyAlignment="1">
      <alignment wrapText="1"/>
    </xf>
    <xf numFmtId="0" fontId="3" fillId="0" borderId="0" xfId="0" applyFont="1" applyAlignment="1">
      <alignment horizontal="left" vertical="center" wrapText="1"/>
    </xf>
    <xf numFmtId="0" fontId="10" fillId="0" borderId="0" xfId="0" applyFont="1" applyAlignment="1">
      <alignment horizontal="left" vertical="center" wrapText="1"/>
    </xf>
    <xf numFmtId="0" fontId="13" fillId="0" borderId="0" xfId="0" applyFont="1" applyBorder="1" applyAlignment="1">
      <alignment wrapText="1"/>
    </xf>
    <xf numFmtId="0" fontId="14" fillId="0" borderId="0" xfId="0" applyFont="1"/>
    <xf numFmtId="0" fontId="12" fillId="0" borderId="0" xfId="0" applyFont="1"/>
    <xf numFmtId="164" fontId="12" fillId="0" borderId="0" xfId="0" applyNumberFormat="1" applyFont="1" applyAlignment="1">
      <alignment horizontal="center" wrapText="1"/>
    </xf>
    <xf numFmtId="0" fontId="8" fillId="4" borderId="20" xfId="0" applyFont="1" applyFill="1" applyBorder="1" applyAlignment="1">
      <alignment wrapText="1"/>
    </xf>
    <xf numFmtId="0" fontId="0" fillId="0" borderId="1" xfId="0" applyBorder="1"/>
    <xf numFmtId="0" fontId="15" fillId="0" borderId="1" xfId="0" applyFont="1" applyBorder="1" applyAlignment="1">
      <alignment wrapText="1"/>
    </xf>
    <xf numFmtId="0" fontId="15" fillId="0" borderId="11" xfId="0" applyFont="1" applyBorder="1" applyAlignment="1">
      <alignment wrapText="1"/>
    </xf>
    <xf numFmtId="0" fontId="1" fillId="0" borderId="10" xfId="0" applyFont="1" applyBorder="1" applyAlignment="1">
      <alignment vertical="center" wrapText="1"/>
    </xf>
    <xf numFmtId="0" fontId="15" fillId="0" borderId="10" xfId="0" applyFont="1" applyBorder="1" applyAlignment="1">
      <alignment wrapText="1"/>
    </xf>
    <xf numFmtId="0" fontId="0" fillId="0" borderId="10" xfId="0" applyFont="1" applyBorder="1" applyAlignment="1">
      <alignment wrapText="1"/>
    </xf>
    <xf numFmtId="0" fontId="15" fillId="0" borderId="1" xfId="0" applyFont="1" applyBorder="1" applyAlignment="1">
      <alignment vertical="center" wrapText="1"/>
    </xf>
    <xf numFmtId="0" fontId="15" fillId="0" borderId="11" xfId="0" applyFont="1" applyBorder="1" applyAlignment="1">
      <alignment vertical="center" wrapText="1"/>
    </xf>
    <xf numFmtId="0" fontId="0" fillId="0" borderId="12" xfId="0" applyFont="1" applyBorder="1" applyAlignment="1">
      <alignment wrapText="1"/>
    </xf>
    <xf numFmtId="0" fontId="17" fillId="0" borderId="1" xfId="0" applyFont="1" applyBorder="1" applyAlignment="1">
      <alignment vertical="center" wrapText="1"/>
    </xf>
    <xf numFmtId="0" fontId="17" fillId="0" borderId="11" xfId="0" applyFont="1" applyBorder="1" applyAlignment="1">
      <alignment vertical="center" wrapText="1"/>
    </xf>
    <xf numFmtId="0" fontId="18" fillId="0" borderId="1" xfId="0" applyFont="1" applyBorder="1" applyAlignment="1">
      <alignment vertical="center" wrapText="1"/>
    </xf>
    <xf numFmtId="0" fontId="18" fillId="0" borderId="11" xfId="0" applyFont="1" applyBorder="1" applyAlignment="1">
      <alignment vertical="center" wrapText="1"/>
    </xf>
    <xf numFmtId="0" fontId="19" fillId="0" borderId="10" xfId="0" applyFont="1" applyBorder="1" applyAlignment="1">
      <alignment wrapText="1"/>
    </xf>
    <xf numFmtId="0" fontId="19" fillId="0" borderId="1" xfId="0" applyFont="1" applyBorder="1" applyAlignment="1">
      <alignment wrapText="1"/>
    </xf>
    <xf numFmtId="0" fontId="19" fillId="0" borderId="11" xfId="0" applyFont="1" applyBorder="1" applyAlignment="1">
      <alignment wrapText="1"/>
    </xf>
    <xf numFmtId="0" fontId="20" fillId="0" borderId="1" xfId="0" applyFont="1" applyBorder="1" applyAlignment="1">
      <alignment wrapText="1"/>
    </xf>
    <xf numFmtId="0" fontId="18" fillId="0" borderId="10" xfId="0" applyFont="1" applyBorder="1" applyAlignment="1">
      <alignment wrapText="1"/>
    </xf>
    <xf numFmtId="0" fontId="18" fillId="0" borderId="1" xfId="0" applyFont="1" applyBorder="1" applyAlignment="1">
      <alignment wrapText="1"/>
    </xf>
    <xf numFmtId="0" fontId="18" fillId="0" borderId="11" xfId="0" applyFont="1" applyBorder="1" applyAlignment="1">
      <alignment wrapText="1"/>
    </xf>
    <xf numFmtId="0" fontId="20" fillId="0" borderId="1" xfId="0" applyFont="1" applyBorder="1" applyAlignment="1">
      <alignment vertical="center" wrapText="1"/>
    </xf>
    <xf numFmtId="0" fontId="0" fillId="0" borderId="1" xfId="0" applyFont="1" applyBorder="1" applyAlignment="1">
      <alignment wrapText="1"/>
    </xf>
    <xf numFmtId="0" fontId="16" fillId="0" borderId="1" xfId="0" applyFont="1" applyBorder="1" applyAlignment="1">
      <alignment horizontal="left" wrapText="1"/>
    </xf>
    <xf numFmtId="0" fontId="14" fillId="4" borderId="1" xfId="0" applyFont="1" applyFill="1" applyBorder="1" applyAlignment="1">
      <alignment horizontal="left" wrapText="1"/>
    </xf>
    <xf numFmtId="1" fontId="14" fillId="0" borderId="1" xfId="0" applyNumberFormat="1" applyFont="1" applyBorder="1" applyAlignment="1">
      <alignment wrapText="1"/>
    </xf>
    <xf numFmtId="0" fontId="14" fillId="0" borderId="1" xfId="0" applyFont="1" applyBorder="1" applyAlignment="1">
      <alignment wrapText="1"/>
    </xf>
    <xf numFmtId="0" fontId="19" fillId="5" borderId="1" xfId="0" applyFont="1" applyFill="1" applyBorder="1" applyAlignment="1">
      <alignment wrapText="1"/>
    </xf>
    <xf numFmtId="0" fontId="23" fillId="2" borderId="16" xfId="0" applyFont="1" applyFill="1" applyBorder="1" applyAlignment="1">
      <alignment horizontal="left" vertical="center" wrapText="1"/>
    </xf>
    <xf numFmtId="0" fontId="23" fillId="2" borderId="3" xfId="0" applyFont="1" applyFill="1" applyBorder="1" applyAlignment="1">
      <alignment horizontal="left" vertical="center" wrapText="1"/>
    </xf>
    <xf numFmtId="0" fontId="24" fillId="2" borderId="1" xfId="0" applyFont="1" applyFill="1" applyBorder="1" applyAlignment="1">
      <alignment horizontal="left" wrapText="1"/>
    </xf>
    <xf numFmtId="0" fontId="15" fillId="0" borderId="10" xfId="0" applyFont="1" applyBorder="1" applyAlignment="1" applyProtection="1">
      <alignment wrapText="1"/>
      <protection locked="0"/>
    </xf>
    <xf numFmtId="0" fontId="15" fillId="5" borderId="1" xfId="0" applyFont="1" applyFill="1" applyBorder="1" applyAlignment="1" applyProtection="1">
      <alignment wrapText="1"/>
      <protection locked="0"/>
    </xf>
    <xf numFmtId="0" fontId="15" fillId="0" borderId="11" xfId="0" applyFont="1" applyBorder="1" applyAlignment="1" applyProtection="1">
      <alignment wrapText="1"/>
      <protection locked="0"/>
    </xf>
    <xf numFmtId="0" fontId="15" fillId="3" borderId="1" xfId="0" applyFont="1" applyFill="1" applyBorder="1" applyAlignment="1" applyProtection="1">
      <alignment wrapText="1"/>
      <protection locked="0"/>
    </xf>
    <xf numFmtId="0" fontId="15" fillId="0" borderId="1" xfId="0" applyFont="1" applyBorder="1" applyAlignment="1" applyProtection="1">
      <alignment wrapText="1"/>
      <protection locked="0"/>
    </xf>
    <xf numFmtId="0" fontId="17" fillId="0" borderId="10" xfId="0" applyFont="1" applyBorder="1" applyAlignment="1" applyProtection="1">
      <alignment wrapText="1"/>
      <protection locked="0"/>
    </xf>
    <xf numFmtId="0" fontId="17" fillId="5" borderId="1" xfId="0" applyFont="1" applyFill="1" applyBorder="1" applyAlignment="1" applyProtection="1">
      <alignment wrapText="1"/>
      <protection locked="0"/>
    </xf>
    <xf numFmtId="0" fontId="17" fillId="0" borderId="11" xfId="0" applyFont="1" applyBorder="1" applyAlignment="1" applyProtection="1">
      <alignment wrapText="1"/>
      <protection locked="0"/>
    </xf>
    <xf numFmtId="0" fontId="15" fillId="5" borderId="10" xfId="0" applyFont="1" applyFill="1" applyBorder="1" applyAlignment="1" applyProtection="1">
      <alignment wrapText="1"/>
      <protection locked="0"/>
    </xf>
    <xf numFmtId="0" fontId="15" fillId="5" borderId="11" xfId="0" applyFont="1" applyFill="1" applyBorder="1" applyAlignment="1" applyProtection="1">
      <alignment wrapText="1"/>
      <protection locked="0"/>
    </xf>
    <xf numFmtId="0" fontId="0" fillId="0" borderId="1" xfId="0" applyBorder="1" applyAlignment="1">
      <alignment wrapText="1"/>
    </xf>
    <xf numFmtId="0" fontId="7" fillId="2" borderId="8" xfId="0" applyFont="1" applyFill="1" applyBorder="1" applyAlignment="1">
      <alignment horizontal="center" wrapText="1"/>
    </xf>
    <xf numFmtId="0" fontId="8" fillId="2" borderId="3" xfId="0" applyFont="1" applyFill="1" applyBorder="1" applyAlignment="1">
      <alignment horizontal="left" wrapText="1"/>
    </xf>
    <xf numFmtId="0" fontId="7" fillId="2" borderId="7" xfId="0" applyFont="1" applyFill="1" applyBorder="1" applyAlignment="1">
      <alignment wrapText="1"/>
    </xf>
    <xf numFmtId="0" fontId="7" fillId="2" borderId="13" xfId="0" applyFont="1" applyFill="1" applyBorder="1" applyAlignment="1">
      <alignment wrapText="1"/>
    </xf>
    <xf numFmtId="0" fontId="27" fillId="2" borderId="9" xfId="1" applyFont="1" applyFill="1" applyBorder="1" applyAlignment="1">
      <alignment horizontal="center" wrapText="1"/>
    </xf>
    <xf numFmtId="0" fontId="4" fillId="2" borderId="16" xfId="0" applyFont="1" applyFill="1" applyBorder="1" applyAlignment="1">
      <alignment horizontal="left" vertical="center" wrapText="1"/>
    </xf>
    <xf numFmtId="0" fontId="7" fillId="2" borderId="16" xfId="0" applyFont="1" applyFill="1" applyBorder="1" applyAlignment="1">
      <alignment horizontal="left" wrapText="1"/>
    </xf>
    <xf numFmtId="0" fontId="7" fillId="2" borderId="3" xfId="0" applyFont="1" applyFill="1" applyBorder="1" applyAlignment="1">
      <alignment horizontal="center" vertical="center" wrapText="1"/>
    </xf>
    <xf numFmtId="0" fontId="6" fillId="0" borderId="12" xfId="0" applyFont="1" applyBorder="1" applyAlignment="1">
      <alignment wrapText="1"/>
    </xf>
    <xf numFmtId="0" fontId="28" fillId="0" borderId="1" xfId="0" applyFont="1" applyBorder="1" applyAlignment="1">
      <alignment vertical="center" wrapText="1"/>
    </xf>
    <xf numFmtId="0" fontId="28" fillId="0" borderId="11" xfId="0" applyFont="1" applyBorder="1" applyAlignment="1">
      <alignment vertical="center" wrapText="1"/>
    </xf>
    <xf numFmtId="0" fontId="28" fillId="0" borderId="10" xfId="0" applyFont="1" applyBorder="1" applyAlignment="1">
      <alignment wrapText="1"/>
    </xf>
    <xf numFmtId="0" fontId="28" fillId="5" borderId="1" xfId="0" applyFont="1" applyFill="1" applyBorder="1" applyAlignment="1">
      <alignment wrapText="1"/>
    </xf>
    <xf numFmtId="0" fontId="28" fillId="0" borderId="11" xfId="0" applyFont="1" applyBorder="1" applyAlignment="1">
      <alignment wrapText="1"/>
    </xf>
    <xf numFmtId="0" fontId="6" fillId="0" borderId="3" xfId="0" applyFont="1" applyBorder="1" applyAlignment="1">
      <alignment wrapText="1"/>
    </xf>
    <xf numFmtId="0" fontId="6" fillId="0" borderId="17" xfId="0" applyFont="1" applyBorder="1" applyAlignment="1">
      <alignment wrapText="1"/>
    </xf>
    <xf numFmtId="0" fontId="28" fillId="0" borderId="4" xfId="0" applyFont="1" applyBorder="1" applyAlignment="1">
      <alignment wrapText="1"/>
    </xf>
    <xf numFmtId="0" fontId="28" fillId="0" borderId="17" xfId="0" applyFont="1" applyBorder="1" applyAlignment="1">
      <alignment wrapText="1"/>
    </xf>
    <xf numFmtId="0" fontId="28" fillId="5" borderId="4" xfId="0" applyFont="1" applyFill="1" applyBorder="1" applyAlignment="1">
      <alignment wrapText="1"/>
    </xf>
    <xf numFmtId="0" fontId="28" fillId="5" borderId="18" xfId="0" applyFont="1" applyFill="1" applyBorder="1" applyAlignment="1">
      <alignment wrapText="1"/>
    </xf>
    <xf numFmtId="0" fontId="6" fillId="0" borderId="19" xfId="0" applyFont="1" applyBorder="1" applyAlignment="1">
      <alignment wrapText="1"/>
    </xf>
    <xf numFmtId="0" fontId="28" fillId="0" borderId="1" xfId="0" applyFont="1" applyBorder="1" applyAlignment="1">
      <alignment wrapText="1"/>
    </xf>
    <xf numFmtId="0" fontId="6" fillId="0" borderId="10" xfId="0" applyFont="1" applyBorder="1" applyAlignment="1">
      <alignment wrapText="1"/>
    </xf>
    <xf numFmtId="0" fontId="29" fillId="0" borderId="0" xfId="0" applyFont="1"/>
    <xf numFmtId="0" fontId="30" fillId="0" borderId="0" xfId="0" applyFont="1"/>
    <xf numFmtId="0" fontId="31" fillId="0" borderId="0" xfId="0" applyFont="1"/>
    <xf numFmtId="0" fontId="32" fillId="0" borderId="0" xfId="0" applyFont="1" applyAlignment="1">
      <alignment wrapText="1"/>
    </xf>
    <xf numFmtId="0" fontId="33" fillId="0" borderId="0" xfId="0" applyFont="1" applyAlignment="1">
      <alignment wrapText="1"/>
    </xf>
    <xf numFmtId="0" fontId="34" fillId="0" borderId="0" xfId="0" applyFont="1" applyBorder="1" applyAlignment="1">
      <alignment wrapText="1"/>
    </xf>
    <xf numFmtId="0" fontId="32" fillId="6" borderId="1" xfId="0" applyFont="1" applyFill="1" applyBorder="1" applyAlignment="1">
      <alignment horizontal="right"/>
    </xf>
    <xf numFmtId="164" fontId="32" fillId="6" borderId="1" xfId="0" applyNumberFormat="1" applyFont="1" applyFill="1" applyBorder="1" applyAlignment="1">
      <alignment horizontal="right"/>
    </xf>
    <xf numFmtId="0" fontId="33" fillId="6" borderId="1" xfId="0" applyFont="1" applyFill="1" applyBorder="1" applyAlignment="1"/>
    <xf numFmtId="164" fontId="33" fillId="6" borderId="1" xfId="0" applyNumberFormat="1" applyFont="1" applyFill="1" applyBorder="1" applyAlignment="1"/>
    <xf numFmtId="0" fontId="6" fillId="6" borderId="1" xfId="0" applyFont="1" applyFill="1" applyBorder="1" applyAlignment="1">
      <alignment wrapText="1"/>
    </xf>
    <xf numFmtId="0" fontId="34" fillId="0" borderId="0" xfId="0" applyFont="1"/>
    <xf numFmtId="0" fontId="35" fillId="6" borderId="1" xfId="0" applyFont="1" applyFill="1" applyBorder="1" applyAlignment="1">
      <alignment horizontal="center" wrapText="1"/>
    </xf>
    <xf numFmtId="164" fontId="12" fillId="6" borderId="1" xfId="0" applyNumberFormat="1" applyFont="1" applyFill="1" applyBorder="1" applyAlignment="1">
      <alignment horizontal="right" wrapText="1"/>
    </xf>
    <xf numFmtId="164" fontId="14" fillId="4" borderId="1" xfId="0" applyNumberFormat="1" applyFont="1" applyFill="1" applyBorder="1" applyAlignment="1" applyProtection="1">
      <alignment wrapText="1"/>
      <protection hidden="1"/>
    </xf>
    <xf numFmtId="0" fontId="28" fillId="5" borderId="11" xfId="0" applyFont="1" applyFill="1" applyBorder="1" applyAlignment="1">
      <alignment wrapText="1"/>
    </xf>
    <xf numFmtId="0" fontId="0" fillId="0" borderId="2" xfId="0" applyBorder="1" applyAlignment="1">
      <alignment horizontal="center"/>
    </xf>
    <xf numFmtId="0" fontId="0" fillId="0" borderId="3" xfId="0" applyBorder="1" applyAlignment="1">
      <alignment horizontal="center"/>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wrapText="1"/>
    </xf>
    <xf numFmtId="0" fontId="0" fillId="0" borderId="5" xfId="0" applyBorder="1" applyAlignment="1">
      <alignment horizontal="left" wrapText="1"/>
    </xf>
    <xf numFmtId="0" fontId="0" fillId="0" borderId="6" xfId="0" applyBorder="1" applyAlignment="1">
      <alignment horizontal="left" wrapText="1"/>
    </xf>
    <xf numFmtId="0" fontId="22" fillId="0" borderId="4" xfId="0" applyFont="1" applyBorder="1" applyAlignment="1">
      <alignment horizontal="left" wrapText="1"/>
    </xf>
    <xf numFmtId="0" fontId="22" fillId="0" borderId="5" xfId="0" applyFont="1" applyBorder="1" applyAlignment="1">
      <alignment horizontal="left" wrapText="1"/>
    </xf>
    <xf numFmtId="0" fontId="22" fillId="0" borderId="6" xfId="0" applyFont="1" applyBorder="1" applyAlignment="1">
      <alignment horizontal="left" wrapText="1"/>
    </xf>
    <xf numFmtId="0" fontId="4" fillId="2" borderId="13" xfId="0" applyFont="1" applyFill="1" applyBorder="1" applyAlignment="1">
      <alignment horizontal="left" vertical="center" wrapText="1"/>
    </xf>
    <xf numFmtId="0" fontId="4" fillId="2" borderId="16" xfId="0" applyFont="1" applyFill="1" applyBorder="1" applyAlignment="1">
      <alignment horizontal="left" vertical="center" wrapText="1"/>
    </xf>
    <xf numFmtId="164" fontId="3" fillId="4" borderId="2" xfId="0" applyNumberFormat="1" applyFont="1" applyFill="1" applyBorder="1" applyAlignment="1" applyProtection="1">
      <alignment horizontal="center" wrapText="1"/>
      <protection hidden="1"/>
    </xf>
    <xf numFmtId="164" fontId="3" fillId="4" borderId="16" xfId="0" applyNumberFormat="1" applyFont="1" applyFill="1" applyBorder="1" applyAlignment="1" applyProtection="1">
      <alignment horizontal="center" wrapText="1"/>
      <protection hidden="1"/>
    </xf>
    <xf numFmtId="164" fontId="3" fillId="4" borderId="3" xfId="0" applyNumberFormat="1" applyFont="1" applyFill="1" applyBorder="1" applyAlignment="1" applyProtection="1">
      <alignment horizontal="center" wrapText="1"/>
      <protection hidden="1"/>
    </xf>
    <xf numFmtId="0" fontId="15" fillId="0" borderId="1" xfId="0" applyFont="1" applyBorder="1" applyAlignment="1">
      <alignment horizontal="center"/>
    </xf>
    <xf numFmtId="0" fontId="0" fillId="0" borderId="1" xfId="0" applyBorder="1" applyAlignment="1">
      <alignment horizontal="center"/>
    </xf>
    <xf numFmtId="0" fontId="7" fillId="2" borderId="13" xfId="0" applyFont="1" applyFill="1" applyBorder="1" applyAlignment="1">
      <alignment horizontal="center" vertical="center" wrapText="1"/>
    </xf>
    <xf numFmtId="0" fontId="7" fillId="2" borderId="3" xfId="0" applyFont="1" applyFill="1" applyBorder="1" applyAlignment="1">
      <alignment horizontal="center" vertical="center" wrapText="1"/>
    </xf>
    <xf numFmtId="0" fontId="0" fillId="3" borderId="4" xfId="0" applyFill="1" applyBorder="1" applyAlignment="1">
      <alignment horizontal="left" wrapText="1"/>
    </xf>
    <xf numFmtId="0" fontId="0" fillId="3" borderId="5" xfId="0" applyFill="1" applyBorder="1" applyAlignment="1">
      <alignment horizontal="left" wrapText="1"/>
    </xf>
    <xf numFmtId="0" fontId="0" fillId="3" borderId="6" xfId="0" applyFill="1" applyBorder="1" applyAlignment="1">
      <alignment horizontal="left" wrapText="1"/>
    </xf>
    <xf numFmtId="0" fontId="7" fillId="2" borderId="16" xfId="0" applyFont="1" applyFill="1" applyBorder="1" applyAlignment="1">
      <alignment horizontal="left" wrapText="1"/>
    </xf>
    <xf numFmtId="0" fontId="4" fillId="2" borderId="13" xfId="0" applyFont="1" applyFill="1" applyBorder="1" applyAlignment="1">
      <alignment vertical="center" wrapText="1"/>
    </xf>
    <xf numFmtId="0" fontId="4" fillId="2" borderId="16" xfId="0" applyFont="1" applyFill="1" applyBorder="1" applyAlignment="1">
      <alignment vertical="center" wrapText="1"/>
    </xf>
    <xf numFmtId="0" fontId="4" fillId="2" borderId="3" xfId="0" applyFont="1" applyFill="1" applyBorder="1" applyAlignment="1">
      <alignment vertical="center" wrapText="1"/>
    </xf>
  </cellXfs>
  <cellStyles count="2">
    <cellStyle name="Hyperlink" xfId="1" builtinId="8"/>
    <cellStyle name="Standaard" xfId="0" builtinId="0"/>
  </cellStyles>
  <dxfs count="0"/>
  <tableStyles count="0" defaultTableStyle="TableStyleMedium2" defaultPivotStyle="PivotStyleLight16"/>
  <colors>
    <mruColors>
      <color rgb="FF095B1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Config!F2"/></Relationships>
</file>

<file path=xl/drawings/drawing1.xml><?xml version="1.0" encoding="utf-8"?>
<xdr:wsDr xmlns:xdr="http://schemas.openxmlformats.org/drawingml/2006/spreadsheetDrawing" xmlns:a="http://schemas.openxmlformats.org/drawingml/2006/main">
  <xdr:twoCellAnchor editAs="oneCell">
    <xdr:from>
      <xdr:col>0</xdr:col>
      <xdr:colOff>476251</xdr:colOff>
      <xdr:row>0</xdr:row>
      <xdr:rowOff>18676</xdr:rowOff>
    </xdr:from>
    <xdr:to>
      <xdr:col>0</xdr:col>
      <xdr:colOff>1090919</xdr:colOff>
      <xdr:row>2</xdr:row>
      <xdr:rowOff>6162</xdr:rowOff>
    </xdr:to>
    <xdr:pic>
      <xdr:nvPicPr>
        <xdr:cNvPr id="2" name="Afbeelding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6251" y="18676"/>
          <a:ext cx="614668" cy="609973"/>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495300</xdr:colOff>
          <xdr:row>41</xdr:row>
          <xdr:rowOff>66675</xdr:rowOff>
        </xdr:from>
        <xdr:to>
          <xdr:col>6</xdr:col>
          <xdr:colOff>952500</xdr:colOff>
          <xdr:row>42</xdr:row>
          <xdr:rowOff>209550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200" b="0" i="0" u="none" strike="noStrike" baseline="0">
                  <a:solidFill>
                    <a:srgbClr val="000000"/>
                  </a:solidFill>
                  <a:latin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2350E-7BD4-4DFC-B367-877A0ACF8257}">
  <sheetPr codeName="Blad106">
    <pageSetUpPr fitToPage="1"/>
  </sheetPr>
  <dimension ref="A1:L144"/>
  <sheetViews>
    <sheetView tabSelected="1" zoomScale="70" zoomScaleNormal="70" workbookViewId="0">
      <selection activeCell="D5" sqref="D5"/>
    </sheetView>
  </sheetViews>
  <sheetFormatPr defaultColWidth="11" defaultRowHeight="15.75"/>
  <cols>
    <col min="1" max="1" width="21.875" style="1" bestFit="1" customWidth="1"/>
    <col min="2" max="2" width="55.875" style="1" customWidth="1"/>
    <col min="3" max="3" width="28.625" style="1" bestFit="1" customWidth="1"/>
    <col min="4" max="5" width="13.125" style="1" customWidth="1"/>
    <col min="6" max="6" width="14" style="1" bestFit="1" customWidth="1"/>
    <col min="7" max="7" width="13.125" style="1" customWidth="1"/>
    <col min="8" max="8" width="7" style="1" customWidth="1"/>
    <col min="9" max="11" width="32.375" style="3" customWidth="1"/>
    <col min="12" max="12" width="11" style="9"/>
  </cols>
  <sheetData>
    <row r="1" spans="1:12" s="17" customFormat="1" ht="24.95" customHeight="1">
      <c r="B1" s="76" t="str" cm="1">
        <f t="array" aca="1" ref="B1" ca="1">MID(CELL("bestandsnaam",B1),FIND("]",CELL("bestandsnaam",B1))+1,256)</f>
        <v>Basis</v>
      </c>
      <c r="C1" s="78"/>
      <c r="D1" s="14">
        <v>0</v>
      </c>
      <c r="E1" s="74">
        <v>1</v>
      </c>
      <c r="F1" s="74">
        <v>2</v>
      </c>
      <c r="G1" s="13">
        <v>3</v>
      </c>
      <c r="H1" s="15" t="s">
        <v>1</v>
      </c>
      <c r="I1" s="16" t="s">
        <v>2</v>
      </c>
      <c r="J1" s="16" t="s">
        <v>3</v>
      </c>
      <c r="K1" s="16" t="s">
        <v>4</v>
      </c>
      <c r="L1" s="23"/>
    </row>
    <row r="2" spans="1:12" s="17" customFormat="1" ht="24.95" customHeight="1">
      <c r="B2" s="77" t="s">
        <v>0</v>
      </c>
      <c r="C2" s="135" t="s">
        <v>103</v>
      </c>
      <c r="D2" s="135"/>
      <c r="E2" s="135"/>
      <c r="F2" s="135"/>
      <c r="G2" s="135"/>
      <c r="H2" s="135"/>
      <c r="I2" s="135"/>
      <c r="J2" s="80"/>
      <c r="K2" s="75"/>
      <c r="L2" s="23"/>
    </row>
    <row r="3" spans="1:12" ht="24" customHeight="1">
      <c r="A3" s="136" t="s">
        <v>78</v>
      </c>
      <c r="B3" s="137"/>
      <c r="C3" s="137"/>
      <c r="D3" s="137"/>
      <c r="E3" s="137"/>
      <c r="F3" s="137"/>
      <c r="G3" s="137"/>
      <c r="H3" s="137"/>
      <c r="I3" s="137"/>
      <c r="J3" s="137"/>
      <c r="K3" s="138"/>
    </row>
    <row r="4" spans="1:12" ht="60.95" customHeight="1">
      <c r="A4" s="36"/>
      <c r="B4" s="34" t="s">
        <v>5</v>
      </c>
      <c r="C4" s="35" t="s">
        <v>102</v>
      </c>
      <c r="D4" s="63" t="s">
        <v>6</v>
      </c>
      <c r="E4" s="64" t="s">
        <v>7</v>
      </c>
      <c r="F4" s="64" t="s">
        <v>8</v>
      </c>
      <c r="G4" s="72" t="s">
        <v>9</v>
      </c>
      <c r="H4" s="10"/>
      <c r="I4" s="132" t="s">
        <v>10</v>
      </c>
      <c r="J4" s="120" t="s">
        <v>11</v>
      </c>
      <c r="K4" s="120" t="s">
        <v>12</v>
      </c>
    </row>
    <row r="5" spans="1:12" ht="49.5" customHeight="1">
      <c r="A5" s="38"/>
      <c r="B5" s="39" t="s">
        <v>13</v>
      </c>
      <c r="C5" s="35" t="s">
        <v>102</v>
      </c>
      <c r="D5" s="63" t="s">
        <v>6</v>
      </c>
      <c r="E5" s="64" t="s">
        <v>7</v>
      </c>
      <c r="F5" s="64" t="s">
        <v>8</v>
      </c>
      <c r="G5" s="72" t="s">
        <v>9</v>
      </c>
      <c r="H5" s="10"/>
      <c r="I5" s="134"/>
      <c r="J5" s="122"/>
      <c r="K5" s="122"/>
    </row>
    <row r="6" spans="1:12" ht="24" customHeight="1">
      <c r="A6" s="123" t="s">
        <v>14</v>
      </c>
      <c r="B6" s="124"/>
      <c r="C6" s="79"/>
      <c r="D6" s="79"/>
      <c r="E6" s="79"/>
      <c r="F6" s="79"/>
      <c r="G6" s="79"/>
      <c r="H6" s="79"/>
      <c r="I6" s="79"/>
      <c r="J6" s="60"/>
      <c r="K6" s="61"/>
    </row>
    <row r="7" spans="1:12" ht="32.25" customHeight="1">
      <c r="A7" s="36"/>
      <c r="B7" s="34" t="s">
        <v>15</v>
      </c>
      <c r="C7" s="35" t="s">
        <v>102</v>
      </c>
      <c r="D7" s="63" t="s">
        <v>6</v>
      </c>
      <c r="E7" s="64" t="s">
        <v>7</v>
      </c>
      <c r="F7" s="64" t="s">
        <v>8</v>
      </c>
      <c r="G7" s="65" t="s">
        <v>9</v>
      </c>
      <c r="H7" s="10"/>
      <c r="I7" s="132" t="s">
        <v>16</v>
      </c>
      <c r="J7" s="120" t="s">
        <v>17</v>
      </c>
      <c r="K7" s="120" t="s">
        <v>18</v>
      </c>
    </row>
    <row r="8" spans="1:12" s="9" customFormat="1" ht="51.95" customHeight="1">
      <c r="A8" s="96"/>
      <c r="B8" s="83" t="s">
        <v>19</v>
      </c>
      <c r="C8" s="84" t="s">
        <v>109</v>
      </c>
      <c r="D8" s="85" t="s">
        <v>6</v>
      </c>
      <c r="E8" s="95" t="s">
        <v>7</v>
      </c>
      <c r="F8" s="86" t="s">
        <v>8</v>
      </c>
      <c r="G8" s="87" t="s">
        <v>9</v>
      </c>
      <c r="H8" s="12"/>
      <c r="I8" s="133"/>
      <c r="J8" s="121"/>
      <c r="K8" s="121"/>
    </row>
    <row r="9" spans="1:12" ht="45">
      <c r="A9" s="38"/>
      <c r="B9" s="34" t="s">
        <v>20</v>
      </c>
      <c r="C9" s="35" t="s">
        <v>106</v>
      </c>
      <c r="D9" s="63" t="s">
        <v>6</v>
      </c>
      <c r="E9" s="66" t="s">
        <v>7</v>
      </c>
      <c r="F9" s="64" t="s">
        <v>8</v>
      </c>
      <c r="G9" s="72" t="s">
        <v>9</v>
      </c>
      <c r="H9" s="10"/>
      <c r="I9" s="134"/>
      <c r="J9" s="122"/>
      <c r="K9" s="122"/>
    </row>
    <row r="10" spans="1:12" ht="24" customHeight="1">
      <c r="A10" s="123" t="s">
        <v>21</v>
      </c>
      <c r="B10" s="124"/>
      <c r="C10" s="79"/>
      <c r="D10" s="79"/>
      <c r="E10" s="79"/>
      <c r="F10" s="79"/>
      <c r="G10" s="79"/>
      <c r="H10" s="79"/>
      <c r="I10" s="79"/>
      <c r="J10" s="60"/>
      <c r="K10" s="61"/>
    </row>
    <row r="11" spans="1:12" ht="45">
      <c r="A11" s="41"/>
      <c r="B11" s="34" t="s">
        <v>22</v>
      </c>
      <c r="C11" s="35" t="s">
        <v>23</v>
      </c>
      <c r="D11" s="63" t="s">
        <v>6</v>
      </c>
      <c r="E11" s="64" t="s">
        <v>7</v>
      </c>
      <c r="F11" s="64" t="s">
        <v>8</v>
      </c>
      <c r="G11" s="65" t="s">
        <v>9</v>
      </c>
      <c r="H11" s="10"/>
      <c r="I11" s="117" t="s">
        <v>24</v>
      </c>
      <c r="J11" s="120" t="s">
        <v>25</v>
      </c>
      <c r="K11" s="120" t="s">
        <v>26</v>
      </c>
    </row>
    <row r="12" spans="1:12" ht="29.25" customHeight="1">
      <c r="A12" s="37"/>
      <c r="B12" s="34" t="s">
        <v>27</v>
      </c>
      <c r="C12" s="35" t="s">
        <v>23</v>
      </c>
      <c r="D12" s="63" t="s">
        <v>6</v>
      </c>
      <c r="E12" s="64" t="s">
        <v>7</v>
      </c>
      <c r="F12" s="64" t="s">
        <v>8</v>
      </c>
      <c r="G12" s="65" t="s">
        <v>9</v>
      </c>
      <c r="H12" s="10"/>
      <c r="I12" s="118"/>
      <c r="J12" s="121"/>
      <c r="K12" s="121"/>
    </row>
    <row r="13" spans="1:12" ht="45" customHeight="1">
      <c r="A13" s="11"/>
      <c r="B13" s="42" t="s">
        <v>28</v>
      </c>
      <c r="C13" s="43" t="s">
        <v>23</v>
      </c>
      <c r="D13" s="68" t="s">
        <v>6</v>
      </c>
      <c r="E13" s="69" t="s">
        <v>7</v>
      </c>
      <c r="F13" s="69" t="s">
        <v>8</v>
      </c>
      <c r="G13" s="70" t="s">
        <v>9</v>
      </c>
      <c r="H13" s="10"/>
      <c r="I13" s="118"/>
      <c r="J13" s="121"/>
      <c r="K13" s="121"/>
    </row>
    <row r="14" spans="1:12" ht="30">
      <c r="A14" s="38"/>
      <c r="B14" s="34" t="s">
        <v>29</v>
      </c>
      <c r="C14" s="35" t="s">
        <v>23</v>
      </c>
      <c r="D14" s="63" t="s">
        <v>6</v>
      </c>
      <c r="E14" s="67" t="s">
        <v>7</v>
      </c>
      <c r="F14" s="64" t="s">
        <v>8</v>
      </c>
      <c r="G14" s="65" t="s">
        <v>9</v>
      </c>
      <c r="H14" s="10"/>
      <c r="I14" s="118"/>
      <c r="J14" s="121"/>
      <c r="K14" s="121"/>
    </row>
    <row r="15" spans="1:12" ht="30">
      <c r="A15" s="38"/>
      <c r="B15" s="34" t="s">
        <v>30</v>
      </c>
      <c r="C15" s="35" t="s">
        <v>23</v>
      </c>
      <c r="D15" s="63" t="s">
        <v>6</v>
      </c>
      <c r="E15" s="64" t="s">
        <v>7</v>
      </c>
      <c r="F15" s="64" t="s">
        <v>8</v>
      </c>
      <c r="G15" s="65" t="s">
        <v>9</v>
      </c>
      <c r="H15" s="10"/>
      <c r="I15" s="118"/>
      <c r="J15" s="121"/>
      <c r="K15" s="121"/>
    </row>
    <row r="16" spans="1:12" ht="30">
      <c r="A16" s="38"/>
      <c r="B16" s="44" t="s">
        <v>31</v>
      </c>
      <c r="C16" s="45"/>
      <c r="D16" s="46" t="s">
        <v>6</v>
      </c>
      <c r="E16" s="59" t="s">
        <v>7</v>
      </c>
      <c r="F16" s="47" t="s">
        <v>8</v>
      </c>
      <c r="G16" s="48" t="s">
        <v>9</v>
      </c>
      <c r="H16" s="10"/>
      <c r="I16" s="118"/>
      <c r="J16" s="121"/>
      <c r="K16" s="121"/>
    </row>
    <row r="17" spans="1:11" ht="32.450000000000003" customHeight="1">
      <c r="A17" s="38"/>
      <c r="B17" s="34" t="s">
        <v>32</v>
      </c>
      <c r="C17" s="35" t="s">
        <v>110</v>
      </c>
      <c r="D17" s="63" t="s">
        <v>6</v>
      </c>
      <c r="E17" s="64" t="s">
        <v>7</v>
      </c>
      <c r="F17" s="67" t="s">
        <v>8</v>
      </c>
      <c r="G17" s="65" t="s">
        <v>9</v>
      </c>
      <c r="H17" s="10"/>
      <c r="I17" s="119"/>
      <c r="J17" s="122"/>
      <c r="K17" s="122"/>
    </row>
    <row r="18" spans="1:11" ht="24" customHeight="1">
      <c r="A18" s="123" t="s">
        <v>33</v>
      </c>
      <c r="B18" s="124"/>
      <c r="C18" s="79"/>
      <c r="D18" s="79"/>
      <c r="E18" s="79"/>
      <c r="F18" s="79"/>
      <c r="G18" s="79"/>
      <c r="H18" s="79"/>
      <c r="I18" s="79"/>
      <c r="J18" s="60"/>
      <c r="K18" s="61"/>
    </row>
    <row r="19" spans="1:11" ht="47.25" customHeight="1">
      <c r="A19" s="41"/>
      <c r="B19" s="49" t="s">
        <v>34</v>
      </c>
      <c r="C19" s="35"/>
      <c r="D19" s="50" t="s">
        <v>6</v>
      </c>
      <c r="E19" s="51" t="s">
        <v>7</v>
      </c>
      <c r="F19" s="51" t="s">
        <v>8</v>
      </c>
      <c r="G19" s="52" t="s">
        <v>9</v>
      </c>
      <c r="H19" s="10"/>
      <c r="I19" s="117" t="s">
        <v>35</v>
      </c>
      <c r="J19" s="120" t="s">
        <v>36</v>
      </c>
      <c r="K19" s="120" t="s">
        <v>37</v>
      </c>
    </row>
    <row r="20" spans="1:11" ht="47.25" customHeight="1">
      <c r="A20" s="38"/>
      <c r="B20" s="53" t="s">
        <v>38</v>
      </c>
      <c r="C20" s="40"/>
      <c r="D20" s="50" t="s">
        <v>6</v>
      </c>
      <c r="E20" s="51" t="s">
        <v>7</v>
      </c>
      <c r="F20" s="51" t="s">
        <v>8</v>
      </c>
      <c r="G20" s="52" t="s">
        <v>9</v>
      </c>
      <c r="H20" s="10"/>
      <c r="I20" s="118"/>
      <c r="J20" s="121"/>
      <c r="K20" s="121"/>
    </row>
    <row r="21" spans="1:11" ht="25.5" customHeight="1">
      <c r="A21" s="38"/>
      <c r="B21" s="49" t="s">
        <v>39</v>
      </c>
      <c r="C21" s="35"/>
      <c r="D21" s="50" t="s">
        <v>6</v>
      </c>
      <c r="E21" s="51" t="s">
        <v>7</v>
      </c>
      <c r="F21" s="51" t="s">
        <v>8</v>
      </c>
      <c r="G21" s="52" t="s">
        <v>9</v>
      </c>
      <c r="H21" s="10"/>
      <c r="I21" s="119"/>
      <c r="J21" s="122"/>
      <c r="K21" s="122"/>
    </row>
    <row r="22" spans="1:11" ht="24" customHeight="1">
      <c r="A22" s="123" t="s">
        <v>40</v>
      </c>
      <c r="B22" s="124"/>
      <c r="C22" s="79"/>
      <c r="D22" s="79"/>
      <c r="E22" s="79"/>
      <c r="F22" s="79"/>
      <c r="G22" s="79"/>
      <c r="H22" s="79"/>
      <c r="I22" s="79"/>
      <c r="J22" s="60"/>
      <c r="K22" s="61"/>
    </row>
    <row r="23" spans="1:11" ht="48.95" customHeight="1">
      <c r="A23" s="41"/>
      <c r="B23" s="44" t="s">
        <v>41</v>
      </c>
      <c r="C23" s="45"/>
      <c r="D23" s="50" t="s">
        <v>6</v>
      </c>
      <c r="E23" s="51" t="s">
        <v>7</v>
      </c>
      <c r="F23" s="51" t="s">
        <v>8</v>
      </c>
      <c r="G23" s="52" t="s">
        <v>9</v>
      </c>
      <c r="H23" s="10"/>
      <c r="I23" s="117" t="s">
        <v>42</v>
      </c>
      <c r="J23" s="120" t="s">
        <v>43</v>
      </c>
      <c r="K23" s="120" t="s">
        <v>44</v>
      </c>
    </row>
    <row r="24" spans="1:11" ht="48.95" customHeight="1">
      <c r="A24" s="38"/>
      <c r="B24" s="83" t="s">
        <v>45</v>
      </c>
      <c r="C24" s="84" t="s">
        <v>111</v>
      </c>
      <c r="D24" s="85" t="s">
        <v>6</v>
      </c>
      <c r="E24" s="95" t="s">
        <v>7</v>
      </c>
      <c r="F24" s="95" t="s">
        <v>8</v>
      </c>
      <c r="G24" s="87" t="s">
        <v>9</v>
      </c>
      <c r="H24" s="10"/>
      <c r="I24" s="118"/>
      <c r="J24" s="121"/>
      <c r="K24" s="121"/>
    </row>
    <row r="25" spans="1:11" ht="33.75" customHeight="1">
      <c r="A25" s="38"/>
      <c r="B25" s="83" t="s">
        <v>104</v>
      </c>
      <c r="C25" s="84" t="s">
        <v>105</v>
      </c>
      <c r="D25" s="85" t="s">
        <v>6</v>
      </c>
      <c r="E25" s="95" t="s">
        <v>7</v>
      </c>
      <c r="F25" s="95" t="s">
        <v>8</v>
      </c>
      <c r="G25" s="87" t="s">
        <v>9</v>
      </c>
      <c r="H25" s="10"/>
      <c r="I25" s="118"/>
      <c r="J25" s="121"/>
      <c r="K25" s="121"/>
    </row>
    <row r="26" spans="1:11" ht="29.25" customHeight="1">
      <c r="A26" s="130" t="s">
        <v>46</v>
      </c>
      <c r="B26" s="131"/>
      <c r="C26" s="18"/>
      <c r="D26" s="19"/>
      <c r="E26" s="81"/>
      <c r="F26" s="81"/>
      <c r="G26" s="18"/>
      <c r="H26" s="15"/>
      <c r="I26" s="16"/>
      <c r="J26" s="62"/>
      <c r="K26" s="62"/>
    </row>
    <row r="27" spans="1:11" ht="24" customHeight="1">
      <c r="A27" s="123" t="s">
        <v>47</v>
      </c>
      <c r="B27" s="124"/>
      <c r="C27" s="79"/>
      <c r="D27" s="79"/>
      <c r="E27" s="79"/>
      <c r="F27" s="79"/>
      <c r="G27" s="79"/>
      <c r="H27" s="79"/>
      <c r="I27" s="79"/>
      <c r="J27" s="60"/>
      <c r="K27" s="61"/>
    </row>
    <row r="28" spans="1:11" ht="105" customHeight="1">
      <c r="A28" s="82"/>
      <c r="B28" s="95" t="s">
        <v>48</v>
      </c>
      <c r="C28" s="87" t="s">
        <v>106</v>
      </c>
      <c r="D28" s="85" t="s">
        <v>6</v>
      </c>
      <c r="E28" s="95" t="s">
        <v>7</v>
      </c>
      <c r="F28" s="95" t="s">
        <v>8</v>
      </c>
      <c r="G28" s="87" t="s">
        <v>9</v>
      </c>
      <c r="H28" s="10"/>
      <c r="I28" s="117" t="s">
        <v>49</v>
      </c>
      <c r="J28" s="120" t="s">
        <v>50</v>
      </c>
      <c r="K28" s="120" t="s">
        <v>51</v>
      </c>
    </row>
    <row r="29" spans="1:11" ht="30">
      <c r="A29" s="96"/>
      <c r="B29" s="95" t="s">
        <v>52</v>
      </c>
      <c r="C29" s="87" t="s">
        <v>106</v>
      </c>
      <c r="D29" s="85" t="s">
        <v>6</v>
      </c>
      <c r="E29" s="95" t="s">
        <v>7</v>
      </c>
      <c r="F29" s="95" t="s">
        <v>8</v>
      </c>
      <c r="G29" s="87" t="s">
        <v>9</v>
      </c>
      <c r="H29" s="10"/>
      <c r="I29" s="118"/>
      <c r="J29" s="121"/>
      <c r="K29" s="121"/>
    </row>
    <row r="30" spans="1:11" ht="45">
      <c r="A30" s="38"/>
      <c r="B30" s="34" t="s">
        <v>53</v>
      </c>
      <c r="C30" s="35" t="s">
        <v>112</v>
      </c>
      <c r="D30" s="63" t="s">
        <v>6</v>
      </c>
      <c r="E30" s="64" t="s">
        <v>7</v>
      </c>
      <c r="F30" s="64" t="s">
        <v>8</v>
      </c>
      <c r="G30" s="65" t="s">
        <v>9</v>
      </c>
      <c r="H30" s="10"/>
      <c r="I30" s="118"/>
      <c r="J30" s="121"/>
      <c r="K30" s="121"/>
    </row>
    <row r="31" spans="1:11" ht="45">
      <c r="A31" s="38"/>
      <c r="B31" s="34" t="s">
        <v>54</v>
      </c>
      <c r="C31" s="35" t="s">
        <v>112</v>
      </c>
      <c r="D31" s="63" t="s">
        <v>6</v>
      </c>
      <c r="E31" s="67" t="s">
        <v>7</v>
      </c>
      <c r="F31" s="64" t="s">
        <v>8</v>
      </c>
      <c r="G31" s="65" t="s">
        <v>9</v>
      </c>
      <c r="H31" s="10"/>
      <c r="I31" s="119"/>
      <c r="J31" s="122"/>
      <c r="K31" s="122"/>
    </row>
    <row r="32" spans="1:11" ht="24" customHeight="1">
      <c r="A32" s="123" t="s">
        <v>55</v>
      </c>
      <c r="B32" s="124"/>
      <c r="C32" s="79"/>
      <c r="D32" s="79"/>
      <c r="E32" s="79"/>
      <c r="F32" s="79"/>
      <c r="G32" s="79"/>
      <c r="H32" s="79"/>
      <c r="I32" s="79"/>
      <c r="J32" s="60"/>
      <c r="K32" s="61"/>
    </row>
    <row r="33" spans="1:12" ht="66" customHeight="1">
      <c r="A33" s="41"/>
      <c r="B33" s="34" t="s">
        <v>56</v>
      </c>
      <c r="C33" s="87" t="s">
        <v>106</v>
      </c>
      <c r="D33" s="71" t="s">
        <v>6</v>
      </c>
      <c r="E33" s="64" t="s">
        <v>7</v>
      </c>
      <c r="F33" s="64" t="s">
        <v>8</v>
      </c>
      <c r="G33" s="72" t="s">
        <v>9</v>
      </c>
      <c r="H33" s="10"/>
      <c r="I33" s="117" t="s">
        <v>57</v>
      </c>
      <c r="J33" s="120" t="s">
        <v>58</v>
      </c>
      <c r="K33" s="120" t="s">
        <v>59</v>
      </c>
    </row>
    <row r="34" spans="1:12" ht="66" customHeight="1">
      <c r="A34" s="38"/>
      <c r="B34" s="39" t="s">
        <v>60</v>
      </c>
      <c r="C34" s="87" t="s">
        <v>106</v>
      </c>
      <c r="D34" s="71" t="s">
        <v>6</v>
      </c>
      <c r="E34" s="64" t="s">
        <v>7</v>
      </c>
      <c r="F34" s="64" t="s">
        <v>8</v>
      </c>
      <c r="G34" s="72" t="s">
        <v>9</v>
      </c>
      <c r="H34" s="10"/>
      <c r="I34" s="118"/>
      <c r="J34" s="121"/>
      <c r="K34" s="121"/>
    </row>
    <row r="35" spans="1:12" ht="59.25" customHeight="1">
      <c r="A35" s="38"/>
      <c r="B35" s="39" t="s">
        <v>61</v>
      </c>
      <c r="C35" s="84" t="s">
        <v>113</v>
      </c>
      <c r="D35" s="71" t="s">
        <v>6</v>
      </c>
      <c r="E35" s="64" t="s">
        <v>7</v>
      </c>
      <c r="F35" s="64" t="s">
        <v>8</v>
      </c>
      <c r="G35" s="72" t="s">
        <v>9</v>
      </c>
      <c r="H35" s="10"/>
      <c r="I35" s="119"/>
      <c r="J35" s="122"/>
      <c r="K35" s="122"/>
    </row>
    <row r="36" spans="1:12" ht="23.25" customHeight="1">
      <c r="A36" s="123" t="s">
        <v>62</v>
      </c>
      <c r="B36" s="124"/>
      <c r="C36" s="79"/>
      <c r="D36" s="79"/>
      <c r="E36" s="79"/>
      <c r="F36" s="79"/>
      <c r="G36" s="79"/>
      <c r="H36" s="79"/>
      <c r="I36" s="79"/>
      <c r="J36" s="60"/>
      <c r="K36" s="61"/>
    </row>
    <row r="37" spans="1:12" ht="87" customHeight="1">
      <c r="A37" s="82"/>
      <c r="B37" s="83" t="s">
        <v>63</v>
      </c>
      <c r="C37" s="84" t="s">
        <v>113</v>
      </c>
      <c r="D37" s="85" t="s">
        <v>6</v>
      </c>
      <c r="E37" s="86" t="s">
        <v>7</v>
      </c>
      <c r="F37" s="86" t="s">
        <v>8</v>
      </c>
      <c r="G37" s="112" t="s">
        <v>9</v>
      </c>
      <c r="H37" s="88"/>
      <c r="I37" s="117" t="s">
        <v>64</v>
      </c>
      <c r="J37" s="120" t="s">
        <v>65</v>
      </c>
      <c r="K37" s="120" t="s">
        <v>66</v>
      </c>
    </row>
    <row r="38" spans="1:12" ht="87" customHeight="1" thickBot="1">
      <c r="A38" s="89"/>
      <c r="B38" s="90" t="s">
        <v>67</v>
      </c>
      <c r="C38" s="84" t="s">
        <v>113</v>
      </c>
      <c r="D38" s="91" t="s">
        <v>6</v>
      </c>
      <c r="E38" s="92" t="s">
        <v>7</v>
      </c>
      <c r="F38" s="92" t="s">
        <v>8</v>
      </c>
      <c r="G38" s="93" t="s">
        <v>9</v>
      </c>
      <c r="H38" s="94"/>
      <c r="I38" s="118"/>
      <c r="J38" s="121"/>
      <c r="K38" s="121"/>
    </row>
    <row r="39" spans="1:12" ht="24" customHeight="1">
      <c r="A39" s="20"/>
      <c r="B39" s="21"/>
      <c r="C39" s="21"/>
      <c r="D39" s="32"/>
      <c r="E39" s="32"/>
      <c r="F39" s="32"/>
      <c r="G39" s="32"/>
      <c r="H39" s="21"/>
      <c r="I39" s="21"/>
      <c r="J39" s="21"/>
      <c r="K39" s="22"/>
    </row>
    <row r="40" spans="1:12" ht="23.25" hidden="1" customHeight="1">
      <c r="A40" s="54"/>
      <c r="B40" s="34"/>
      <c r="C40" s="34" t="s">
        <v>68</v>
      </c>
      <c r="D40" s="34"/>
      <c r="E40" s="57" cm="1">
        <f t="array" ref="E40">telkleur(E4:E38,E39)</f>
        <v>0</v>
      </c>
      <c r="F40" s="58" cm="1">
        <f t="array" ref="F40">telkleur(F4:F38,E39)*2</f>
        <v>0</v>
      </c>
      <c r="G40" s="58" cm="1">
        <f t="array" ref="G40">telkleur(G4:G38,G39)*3</f>
        <v>0</v>
      </c>
      <c r="H40" s="58">
        <f>SUM(D40:G40)</f>
        <v>0</v>
      </c>
      <c r="I40" s="55" t="s">
        <v>79</v>
      </c>
      <c r="J40" s="2"/>
      <c r="K40" s="2"/>
    </row>
    <row r="41" spans="1:12" ht="23.25" customHeight="1">
      <c r="A41" s="54"/>
      <c r="B41" s="34"/>
      <c r="C41" s="34"/>
      <c r="D41" s="125">
        <f>_xlfn.XLOOKUP(H40,A53:A119,B53:B119)</f>
        <v>0</v>
      </c>
      <c r="E41" s="126"/>
      <c r="F41" s="126"/>
      <c r="G41" s="127"/>
      <c r="H41" s="111">
        <f>_xlfn.XLOOKUP(H40,A53:A119,C53:C119)</f>
        <v>0</v>
      </c>
      <c r="I41" s="56" t="s">
        <v>81</v>
      </c>
      <c r="J41" s="2"/>
      <c r="K41" s="2"/>
    </row>
    <row r="42" spans="1:12" ht="23.25" customHeight="1">
      <c r="B42" s="28"/>
      <c r="C42" s="28"/>
      <c r="D42" s="28"/>
      <c r="E42" s="7" t="s">
        <v>77</v>
      </c>
      <c r="F42" s="7"/>
      <c r="G42" s="7"/>
      <c r="H42" s="6"/>
      <c r="I42" s="8"/>
      <c r="J42" s="8"/>
      <c r="K42" s="8"/>
    </row>
    <row r="43" spans="1:12" ht="18.75">
      <c r="A43" s="29"/>
      <c r="B43" s="30"/>
      <c r="C43" s="30"/>
      <c r="D43" s="30"/>
      <c r="E43" t="s">
        <v>76</v>
      </c>
      <c r="F43"/>
      <c r="G43"/>
      <c r="H43"/>
      <c r="I43" s="1"/>
      <c r="J43" s="4"/>
      <c r="K43" s="4"/>
      <c r="L43" s="24"/>
    </row>
    <row r="44" spans="1:12" ht="18.75" hidden="1">
      <c r="A44" s="99"/>
      <c r="B44" s="30"/>
      <c r="C44" s="30"/>
      <c r="D44" s="30"/>
      <c r="E44"/>
      <c r="F44"/>
      <c r="G44"/>
      <c r="H44"/>
      <c r="I44" s="1"/>
      <c r="J44" s="4"/>
      <c r="K44" s="4"/>
      <c r="L44" s="24"/>
    </row>
    <row r="45" spans="1:12" s="5" customFormat="1" ht="23.25" hidden="1">
      <c r="A45" s="99" t="s">
        <v>69</v>
      </c>
      <c r="B45" s="102"/>
      <c r="C45" s="97"/>
      <c r="D45" s="29"/>
      <c r="I45" s="25"/>
      <c r="J45" s="26"/>
      <c r="K45" s="26"/>
      <c r="L45" s="27"/>
    </row>
    <row r="46" spans="1:12" ht="18.75" hidden="1">
      <c r="A46" s="100" t="s">
        <v>70</v>
      </c>
      <c r="B46" s="98"/>
      <c r="C46" s="98"/>
      <c r="D46" s="30"/>
      <c r="E46"/>
      <c r="F46"/>
      <c r="G46"/>
      <c r="H46"/>
      <c r="I46" s="1"/>
      <c r="J46" s="4"/>
      <c r="K46" s="4"/>
      <c r="L46" s="24"/>
    </row>
    <row r="47" spans="1:12" ht="18.75" hidden="1">
      <c r="A47" s="101">
        <v>5.5</v>
      </c>
      <c r="B47" s="98"/>
      <c r="C47" s="98"/>
      <c r="D47" s="30"/>
      <c r="E47"/>
      <c r="F47"/>
      <c r="G47"/>
      <c r="H47"/>
      <c r="I47" s="1"/>
      <c r="J47" s="4"/>
      <c r="K47" s="4"/>
      <c r="L47" s="24"/>
    </row>
    <row r="48" spans="1:12" ht="18.75" hidden="1">
      <c r="A48" s="100" t="s">
        <v>71</v>
      </c>
      <c r="B48" s="98"/>
      <c r="C48" s="98"/>
      <c r="D48" s="31"/>
      <c r="E48"/>
      <c r="F48"/>
      <c r="G48"/>
      <c r="H48"/>
      <c r="I48" s="1"/>
      <c r="J48" s="4"/>
      <c r="K48" s="4"/>
      <c r="L48" s="24"/>
    </row>
    <row r="49" spans="1:12" ht="18.75" hidden="1">
      <c r="A49" s="101" t="s">
        <v>107</v>
      </c>
      <c r="B49" s="98"/>
      <c r="C49" s="98"/>
      <c r="D49" s="31"/>
      <c r="E49"/>
      <c r="F49"/>
      <c r="G49"/>
      <c r="H49"/>
      <c r="I49" s="1"/>
      <c r="J49" s="4"/>
      <c r="K49" s="4"/>
      <c r="L49" s="24"/>
    </row>
    <row r="50" spans="1:12" ht="18.75" hidden="1">
      <c r="A50" s="100" t="s">
        <v>72</v>
      </c>
      <c r="B50" s="98"/>
      <c r="C50" s="98"/>
      <c r="D50" s="31"/>
      <c r="E50"/>
      <c r="F50"/>
      <c r="G50"/>
      <c r="H50"/>
      <c r="I50" s="1"/>
      <c r="J50" s="4"/>
      <c r="K50" s="4"/>
      <c r="L50" s="24"/>
    </row>
    <row r="51" spans="1:12" ht="36.75" hidden="1">
      <c r="A51" s="101" t="s">
        <v>73</v>
      </c>
      <c r="B51" s="108">
        <v>66</v>
      </c>
      <c r="C51" s="108" t="s">
        <v>108</v>
      </c>
      <c r="D51" s="31"/>
      <c r="E51"/>
      <c r="F51"/>
      <c r="G51"/>
      <c r="H51"/>
      <c r="I51" s="1"/>
      <c r="J51" s="4"/>
      <c r="K51" s="4"/>
      <c r="L51" s="24"/>
    </row>
    <row r="52" spans="1:12" ht="18.75" hidden="1">
      <c r="A52" s="103" t="s">
        <v>74</v>
      </c>
      <c r="B52" s="104" t="s">
        <v>75</v>
      </c>
      <c r="C52" s="109" t="s">
        <v>80</v>
      </c>
      <c r="D52" s="31"/>
      <c r="E52"/>
      <c r="F52"/>
      <c r="G52"/>
      <c r="H52"/>
      <c r="I52" s="1"/>
      <c r="J52" s="4"/>
      <c r="K52" s="4"/>
      <c r="L52" s="24"/>
    </row>
    <row r="53" spans="1:12" ht="18.75" hidden="1">
      <c r="A53" s="105">
        <v>66</v>
      </c>
      <c r="B53" s="106">
        <f>C53/10</f>
        <v>10</v>
      </c>
      <c r="C53" s="110">
        <f t="shared" ref="C53:C84" si="0">A53/$B$51*100</f>
        <v>100</v>
      </c>
      <c r="F53"/>
      <c r="G53"/>
      <c r="H53"/>
      <c r="I53" s="1"/>
      <c r="J53" s="4"/>
      <c r="K53" s="4"/>
      <c r="L53" s="24"/>
    </row>
    <row r="54" spans="1:12" ht="18.75" hidden="1">
      <c r="A54" s="105">
        <v>65</v>
      </c>
      <c r="B54" s="106">
        <f t="shared" ref="B54:B117" si="1">C54/10</f>
        <v>9.8484848484848477</v>
      </c>
      <c r="C54" s="110">
        <f t="shared" si="0"/>
        <v>98.484848484848484</v>
      </c>
      <c r="E54"/>
      <c r="F54"/>
      <c r="G54"/>
      <c r="H54"/>
      <c r="I54" s="1"/>
      <c r="J54" s="4"/>
      <c r="K54" s="4"/>
      <c r="L54" s="24"/>
    </row>
    <row r="55" spans="1:12" ht="18.75" hidden="1">
      <c r="A55" s="105">
        <v>64</v>
      </c>
      <c r="B55" s="106">
        <f t="shared" si="1"/>
        <v>9.6969696969696972</v>
      </c>
      <c r="C55" s="110">
        <f t="shared" si="0"/>
        <v>96.969696969696969</v>
      </c>
      <c r="E55"/>
      <c r="F55"/>
      <c r="G55"/>
      <c r="H55"/>
      <c r="I55" s="1"/>
      <c r="J55" s="4"/>
      <c r="K55" s="4"/>
      <c r="L55" s="24"/>
    </row>
    <row r="56" spans="1:12" ht="18.75" hidden="1">
      <c r="A56" s="105">
        <v>63</v>
      </c>
      <c r="B56" s="106">
        <f t="shared" si="1"/>
        <v>9.545454545454545</v>
      </c>
      <c r="C56" s="110">
        <f t="shared" si="0"/>
        <v>95.454545454545453</v>
      </c>
      <c r="E56"/>
      <c r="F56"/>
      <c r="G56"/>
      <c r="H56"/>
      <c r="I56" s="1"/>
      <c r="J56" s="4"/>
      <c r="K56" s="4"/>
      <c r="L56" s="24"/>
    </row>
    <row r="57" spans="1:12" ht="18.75" hidden="1">
      <c r="A57" s="105">
        <v>62</v>
      </c>
      <c r="B57" s="106">
        <f t="shared" si="1"/>
        <v>9.3939393939393945</v>
      </c>
      <c r="C57" s="110">
        <f t="shared" si="0"/>
        <v>93.939393939393938</v>
      </c>
      <c r="E57"/>
      <c r="F57"/>
      <c r="G57"/>
      <c r="H57"/>
      <c r="I57" s="1"/>
      <c r="J57" s="4"/>
      <c r="K57" s="4"/>
      <c r="L57" s="24"/>
    </row>
    <row r="58" spans="1:12" ht="18.75" hidden="1">
      <c r="A58" s="105">
        <v>61</v>
      </c>
      <c r="B58" s="106">
        <f t="shared" si="1"/>
        <v>9.2424242424242422</v>
      </c>
      <c r="C58" s="110">
        <f t="shared" si="0"/>
        <v>92.424242424242422</v>
      </c>
      <c r="E58"/>
      <c r="F58"/>
      <c r="G58"/>
      <c r="H58"/>
      <c r="I58" s="1"/>
      <c r="J58" s="4"/>
      <c r="K58" s="4"/>
      <c r="L58" s="24"/>
    </row>
    <row r="59" spans="1:12" ht="18.75" hidden="1">
      <c r="A59" s="105">
        <v>60</v>
      </c>
      <c r="B59" s="106">
        <f t="shared" si="1"/>
        <v>9.0909090909090899</v>
      </c>
      <c r="C59" s="110">
        <f t="shared" si="0"/>
        <v>90.909090909090907</v>
      </c>
      <c r="E59"/>
      <c r="F59"/>
      <c r="G59"/>
      <c r="H59"/>
      <c r="I59" s="1"/>
      <c r="J59" s="4"/>
      <c r="K59" s="4"/>
      <c r="L59" s="24"/>
    </row>
    <row r="60" spans="1:12" ht="18.75" hidden="1">
      <c r="A60" s="105">
        <v>59</v>
      </c>
      <c r="B60" s="106">
        <f t="shared" si="1"/>
        <v>8.9393939393939394</v>
      </c>
      <c r="C60" s="110">
        <f t="shared" si="0"/>
        <v>89.393939393939391</v>
      </c>
      <c r="E60"/>
      <c r="F60"/>
      <c r="G60"/>
      <c r="H60"/>
      <c r="I60" s="1"/>
      <c r="J60" s="4"/>
      <c r="K60" s="4"/>
      <c r="L60" s="24"/>
    </row>
    <row r="61" spans="1:12" ht="18.75" hidden="1">
      <c r="A61" s="105">
        <v>58</v>
      </c>
      <c r="B61" s="106">
        <f t="shared" si="1"/>
        <v>8.7878787878787872</v>
      </c>
      <c r="C61" s="110">
        <f t="shared" si="0"/>
        <v>87.878787878787875</v>
      </c>
      <c r="E61"/>
      <c r="F61"/>
      <c r="G61"/>
      <c r="H61"/>
      <c r="I61" s="1"/>
      <c r="J61" s="4"/>
      <c r="K61" s="4"/>
      <c r="L61" s="24"/>
    </row>
    <row r="62" spans="1:12" ht="18.75" hidden="1">
      <c r="A62" s="105">
        <v>57</v>
      </c>
      <c r="B62" s="106">
        <f t="shared" si="1"/>
        <v>8.6363636363636367</v>
      </c>
      <c r="C62" s="110">
        <f t="shared" si="0"/>
        <v>86.36363636363636</v>
      </c>
      <c r="E62"/>
      <c r="F62"/>
      <c r="G62"/>
      <c r="H62"/>
      <c r="I62" s="1"/>
      <c r="J62" s="4"/>
      <c r="K62" s="4"/>
      <c r="L62" s="24"/>
    </row>
    <row r="63" spans="1:12" ht="18.75" hidden="1">
      <c r="A63" s="105">
        <v>56</v>
      </c>
      <c r="B63" s="106">
        <f t="shared" si="1"/>
        <v>8.4848484848484844</v>
      </c>
      <c r="C63" s="110">
        <f t="shared" si="0"/>
        <v>84.848484848484844</v>
      </c>
      <c r="E63"/>
      <c r="F63"/>
      <c r="G63"/>
      <c r="H63"/>
      <c r="I63" s="1"/>
      <c r="J63" s="4"/>
      <c r="K63" s="4"/>
      <c r="L63" s="24"/>
    </row>
    <row r="64" spans="1:12" ht="18.75" hidden="1">
      <c r="A64" s="105">
        <v>55</v>
      </c>
      <c r="B64" s="106">
        <f t="shared" si="1"/>
        <v>8.3333333333333339</v>
      </c>
      <c r="C64" s="110">
        <f t="shared" si="0"/>
        <v>83.333333333333343</v>
      </c>
      <c r="E64"/>
      <c r="F64"/>
      <c r="G64"/>
      <c r="H64"/>
      <c r="I64" s="1"/>
      <c r="J64" s="4"/>
      <c r="K64" s="4"/>
      <c r="L64" s="24"/>
    </row>
    <row r="65" spans="1:12" ht="18.75" hidden="1">
      <c r="A65" s="105">
        <v>54</v>
      </c>
      <c r="B65" s="106">
        <f t="shared" si="1"/>
        <v>8.1818181818181834</v>
      </c>
      <c r="C65" s="110">
        <f t="shared" si="0"/>
        <v>81.818181818181827</v>
      </c>
      <c r="E65"/>
      <c r="F65"/>
      <c r="G65"/>
      <c r="H65"/>
      <c r="I65" s="1"/>
      <c r="J65" s="4"/>
      <c r="K65" s="4"/>
      <c r="L65" s="24"/>
    </row>
    <row r="66" spans="1:12" ht="18.75" hidden="1">
      <c r="A66" s="105">
        <v>53</v>
      </c>
      <c r="B66" s="106">
        <f t="shared" si="1"/>
        <v>8.0303030303030294</v>
      </c>
      <c r="C66" s="110">
        <f t="shared" si="0"/>
        <v>80.303030303030297</v>
      </c>
      <c r="E66"/>
      <c r="F66"/>
      <c r="G66"/>
      <c r="H66"/>
      <c r="I66" s="1"/>
      <c r="J66" s="4"/>
      <c r="K66" s="4"/>
      <c r="L66" s="24"/>
    </row>
    <row r="67" spans="1:12" ht="18.75" hidden="1">
      <c r="A67" s="105">
        <v>52</v>
      </c>
      <c r="B67" s="106">
        <f t="shared" si="1"/>
        <v>7.878787878787878</v>
      </c>
      <c r="C67" s="110">
        <f t="shared" si="0"/>
        <v>78.787878787878782</v>
      </c>
      <c r="E67"/>
      <c r="F67"/>
      <c r="G67"/>
      <c r="H67"/>
      <c r="I67" s="1"/>
      <c r="J67" s="4"/>
      <c r="K67" s="4"/>
      <c r="L67" s="24"/>
    </row>
    <row r="68" spans="1:12" ht="18.75" hidden="1">
      <c r="A68" s="105">
        <v>51</v>
      </c>
      <c r="B68" s="106">
        <f t="shared" si="1"/>
        <v>7.7272727272727266</v>
      </c>
      <c r="C68" s="110">
        <f t="shared" si="0"/>
        <v>77.272727272727266</v>
      </c>
    </row>
    <row r="69" spans="1:12" ht="18.75" hidden="1">
      <c r="A69" s="105">
        <v>50</v>
      </c>
      <c r="B69" s="106">
        <f t="shared" si="1"/>
        <v>7.5757575757575752</v>
      </c>
      <c r="C69" s="110">
        <f t="shared" si="0"/>
        <v>75.757575757575751</v>
      </c>
    </row>
    <row r="70" spans="1:12" ht="18.75" hidden="1">
      <c r="A70" s="105">
        <v>49</v>
      </c>
      <c r="B70" s="106">
        <f t="shared" si="1"/>
        <v>7.4242424242424248</v>
      </c>
      <c r="C70" s="110">
        <f t="shared" si="0"/>
        <v>74.242424242424249</v>
      </c>
    </row>
    <row r="71" spans="1:12" ht="18.75" hidden="1">
      <c r="A71" s="105">
        <v>48</v>
      </c>
      <c r="B71" s="106">
        <f t="shared" si="1"/>
        <v>7.2727272727272734</v>
      </c>
      <c r="C71" s="110">
        <f t="shared" si="0"/>
        <v>72.727272727272734</v>
      </c>
    </row>
    <row r="72" spans="1:12" ht="18.75" hidden="1">
      <c r="A72" s="105">
        <v>47</v>
      </c>
      <c r="B72" s="106">
        <f t="shared" si="1"/>
        <v>7.121212121212122</v>
      </c>
      <c r="C72" s="110">
        <f t="shared" si="0"/>
        <v>71.212121212121218</v>
      </c>
    </row>
    <row r="73" spans="1:12" ht="18.75" hidden="1">
      <c r="A73" s="105">
        <v>46</v>
      </c>
      <c r="B73" s="106">
        <f t="shared" si="1"/>
        <v>6.9696969696969706</v>
      </c>
      <c r="C73" s="110">
        <f t="shared" si="0"/>
        <v>69.696969696969703</v>
      </c>
    </row>
    <row r="74" spans="1:12" ht="18.75" hidden="1">
      <c r="A74" s="105">
        <v>45</v>
      </c>
      <c r="B74" s="106">
        <f t="shared" si="1"/>
        <v>6.8181818181818175</v>
      </c>
      <c r="C74" s="110">
        <f t="shared" si="0"/>
        <v>68.181818181818173</v>
      </c>
    </row>
    <row r="75" spans="1:12" ht="18.75" hidden="1">
      <c r="A75" s="105">
        <v>44</v>
      </c>
      <c r="B75" s="106">
        <f t="shared" si="1"/>
        <v>6.6666666666666661</v>
      </c>
      <c r="C75" s="110">
        <f t="shared" si="0"/>
        <v>66.666666666666657</v>
      </c>
    </row>
    <row r="76" spans="1:12" ht="18.75" hidden="1">
      <c r="A76" s="105">
        <v>43</v>
      </c>
      <c r="B76" s="106">
        <f t="shared" si="1"/>
        <v>6.5151515151515156</v>
      </c>
      <c r="C76" s="110">
        <f t="shared" si="0"/>
        <v>65.151515151515156</v>
      </c>
    </row>
    <row r="77" spans="1:12" ht="18.75" hidden="1">
      <c r="A77" s="105">
        <v>42</v>
      </c>
      <c r="B77" s="106">
        <f t="shared" si="1"/>
        <v>6.3636363636363633</v>
      </c>
      <c r="C77" s="110">
        <f t="shared" si="0"/>
        <v>63.636363636363633</v>
      </c>
    </row>
    <row r="78" spans="1:12" ht="18.75" hidden="1">
      <c r="A78" s="105">
        <v>41</v>
      </c>
      <c r="B78" s="106">
        <f t="shared" si="1"/>
        <v>6.2121212121212128</v>
      </c>
      <c r="C78" s="110">
        <f t="shared" si="0"/>
        <v>62.121212121212125</v>
      </c>
    </row>
    <row r="79" spans="1:12" ht="18.75" hidden="1">
      <c r="A79" s="105">
        <v>40</v>
      </c>
      <c r="B79" s="106">
        <f t="shared" si="1"/>
        <v>6.0606060606060606</v>
      </c>
      <c r="C79" s="110">
        <f t="shared" si="0"/>
        <v>60.606060606060609</v>
      </c>
    </row>
    <row r="80" spans="1:12" ht="18.75" hidden="1">
      <c r="A80" s="105">
        <v>39</v>
      </c>
      <c r="B80" s="106">
        <f t="shared" si="1"/>
        <v>5.9090909090909092</v>
      </c>
      <c r="C80" s="110">
        <f t="shared" si="0"/>
        <v>59.090909090909093</v>
      </c>
    </row>
    <row r="81" spans="1:3" ht="18.75" hidden="1">
      <c r="A81" s="105">
        <v>38</v>
      </c>
      <c r="B81" s="106">
        <f t="shared" si="1"/>
        <v>5.7575757575757578</v>
      </c>
      <c r="C81" s="110">
        <f t="shared" si="0"/>
        <v>57.575757575757578</v>
      </c>
    </row>
    <row r="82" spans="1:3" ht="18.75" hidden="1">
      <c r="A82" s="105">
        <v>37</v>
      </c>
      <c r="B82" s="106">
        <f t="shared" si="1"/>
        <v>5.6060606060606055</v>
      </c>
      <c r="C82" s="110">
        <f t="shared" si="0"/>
        <v>56.060606060606055</v>
      </c>
    </row>
    <row r="83" spans="1:3" ht="18.75" hidden="1">
      <c r="A83" s="105">
        <v>36</v>
      </c>
      <c r="B83" s="106">
        <f t="shared" si="1"/>
        <v>5.4545454545454541</v>
      </c>
      <c r="C83" s="110">
        <f t="shared" si="0"/>
        <v>54.54545454545454</v>
      </c>
    </row>
    <row r="84" spans="1:3" ht="18.75" hidden="1">
      <c r="A84" s="105">
        <v>35</v>
      </c>
      <c r="B84" s="106">
        <f t="shared" si="1"/>
        <v>5.3030303030303028</v>
      </c>
      <c r="C84" s="110">
        <f t="shared" si="0"/>
        <v>53.030303030303031</v>
      </c>
    </row>
    <row r="85" spans="1:3" ht="18.75" hidden="1">
      <c r="A85" s="105">
        <v>34</v>
      </c>
      <c r="B85" s="106">
        <f t="shared" si="1"/>
        <v>5.1515151515151514</v>
      </c>
      <c r="C85" s="110">
        <f t="shared" ref="C85:C119" si="2">A85/$B$51*100</f>
        <v>51.515151515151516</v>
      </c>
    </row>
    <row r="86" spans="1:3" ht="18.75" hidden="1">
      <c r="A86" s="105">
        <v>33</v>
      </c>
      <c r="B86" s="106">
        <f t="shared" si="1"/>
        <v>5</v>
      </c>
      <c r="C86" s="110">
        <f t="shared" si="2"/>
        <v>50</v>
      </c>
    </row>
    <row r="87" spans="1:3" ht="18.75" hidden="1">
      <c r="A87" s="105">
        <v>32</v>
      </c>
      <c r="B87" s="106">
        <f t="shared" si="1"/>
        <v>4.8484848484848486</v>
      </c>
      <c r="C87" s="110">
        <f t="shared" si="2"/>
        <v>48.484848484848484</v>
      </c>
    </row>
    <row r="88" spans="1:3" ht="18.75" hidden="1">
      <c r="A88" s="105">
        <v>31</v>
      </c>
      <c r="B88" s="106">
        <f t="shared" si="1"/>
        <v>4.6969696969696972</v>
      </c>
      <c r="C88" s="110">
        <f t="shared" si="2"/>
        <v>46.969696969696969</v>
      </c>
    </row>
    <row r="89" spans="1:3" ht="18.75" hidden="1">
      <c r="A89" s="105">
        <v>30</v>
      </c>
      <c r="B89" s="106">
        <f t="shared" si="1"/>
        <v>4.545454545454545</v>
      </c>
      <c r="C89" s="110">
        <f t="shared" si="2"/>
        <v>45.454545454545453</v>
      </c>
    </row>
    <row r="90" spans="1:3" ht="18.75" hidden="1">
      <c r="A90" s="105">
        <v>29</v>
      </c>
      <c r="B90" s="106">
        <f t="shared" si="1"/>
        <v>4.3939393939393936</v>
      </c>
      <c r="C90" s="110">
        <f t="shared" si="2"/>
        <v>43.939393939393938</v>
      </c>
    </row>
    <row r="91" spans="1:3" ht="18.75" hidden="1">
      <c r="A91" s="105">
        <v>28</v>
      </c>
      <c r="B91" s="106">
        <f t="shared" si="1"/>
        <v>4.2424242424242422</v>
      </c>
      <c r="C91" s="110">
        <f t="shared" si="2"/>
        <v>42.424242424242422</v>
      </c>
    </row>
    <row r="92" spans="1:3" ht="18.75" hidden="1">
      <c r="A92" s="105">
        <v>27</v>
      </c>
      <c r="B92" s="106">
        <f t="shared" si="1"/>
        <v>4.0909090909090917</v>
      </c>
      <c r="C92" s="110">
        <f t="shared" si="2"/>
        <v>40.909090909090914</v>
      </c>
    </row>
    <row r="93" spans="1:3" ht="18.75" hidden="1">
      <c r="A93" s="105">
        <v>26</v>
      </c>
      <c r="B93" s="106">
        <f t="shared" si="1"/>
        <v>3.939393939393939</v>
      </c>
      <c r="C93" s="110">
        <f t="shared" si="2"/>
        <v>39.393939393939391</v>
      </c>
    </row>
    <row r="94" spans="1:3" ht="18.75" hidden="1">
      <c r="A94" s="105">
        <v>25</v>
      </c>
      <c r="B94" s="106">
        <f t="shared" si="1"/>
        <v>3.7878787878787876</v>
      </c>
      <c r="C94" s="110">
        <f t="shared" si="2"/>
        <v>37.878787878787875</v>
      </c>
    </row>
    <row r="95" spans="1:3" ht="18.75" hidden="1">
      <c r="A95" s="105">
        <v>24</v>
      </c>
      <c r="B95" s="106">
        <f t="shared" si="1"/>
        <v>3.6363636363636367</v>
      </c>
      <c r="C95" s="110">
        <f t="shared" si="2"/>
        <v>36.363636363636367</v>
      </c>
    </row>
    <row r="96" spans="1:3" ht="18.75" hidden="1">
      <c r="A96" s="105">
        <v>23</v>
      </c>
      <c r="B96" s="106">
        <f t="shared" si="1"/>
        <v>3.4848484848484853</v>
      </c>
      <c r="C96" s="110">
        <f t="shared" si="2"/>
        <v>34.848484848484851</v>
      </c>
    </row>
    <row r="97" spans="1:3" ht="18.75" hidden="1">
      <c r="A97" s="105">
        <v>22</v>
      </c>
      <c r="B97" s="106">
        <f t="shared" si="1"/>
        <v>3.333333333333333</v>
      </c>
      <c r="C97" s="110">
        <f t="shared" si="2"/>
        <v>33.333333333333329</v>
      </c>
    </row>
    <row r="98" spans="1:3" ht="18.75" hidden="1">
      <c r="A98" s="105">
        <v>21</v>
      </c>
      <c r="B98" s="106">
        <f t="shared" si="1"/>
        <v>3.1818181818181817</v>
      </c>
      <c r="C98" s="110">
        <f t="shared" si="2"/>
        <v>31.818181818181817</v>
      </c>
    </row>
    <row r="99" spans="1:3" ht="18.75" hidden="1">
      <c r="A99" s="105">
        <v>20</v>
      </c>
      <c r="B99" s="106">
        <f t="shared" si="1"/>
        <v>3.0303030303030303</v>
      </c>
      <c r="C99" s="110">
        <f t="shared" si="2"/>
        <v>30.303030303030305</v>
      </c>
    </row>
    <row r="100" spans="1:3" ht="18.75" hidden="1">
      <c r="A100" s="107">
        <v>19</v>
      </c>
      <c r="B100" s="106">
        <f t="shared" si="1"/>
        <v>2.8787878787878789</v>
      </c>
      <c r="C100" s="110">
        <f t="shared" si="2"/>
        <v>28.787878787878789</v>
      </c>
    </row>
    <row r="101" spans="1:3" ht="18.75" hidden="1">
      <c r="A101" s="105">
        <v>18</v>
      </c>
      <c r="B101" s="106">
        <f t="shared" si="1"/>
        <v>2.7272727272727271</v>
      </c>
      <c r="C101" s="110">
        <f t="shared" si="2"/>
        <v>27.27272727272727</v>
      </c>
    </row>
    <row r="102" spans="1:3" ht="18.75" hidden="1">
      <c r="A102" s="105">
        <v>17</v>
      </c>
      <c r="B102" s="106">
        <f t="shared" si="1"/>
        <v>2.5757575757575757</v>
      </c>
      <c r="C102" s="110">
        <f t="shared" si="2"/>
        <v>25.757575757575758</v>
      </c>
    </row>
    <row r="103" spans="1:3" ht="18.75" hidden="1">
      <c r="A103" s="105">
        <v>16</v>
      </c>
      <c r="B103" s="106">
        <f t="shared" si="1"/>
        <v>2.4242424242424243</v>
      </c>
      <c r="C103" s="110">
        <f t="shared" si="2"/>
        <v>24.242424242424242</v>
      </c>
    </row>
    <row r="104" spans="1:3" ht="18.75" hidden="1">
      <c r="A104" s="105">
        <v>15</v>
      </c>
      <c r="B104" s="106">
        <f t="shared" si="1"/>
        <v>2.2727272727272725</v>
      </c>
      <c r="C104" s="110">
        <f t="shared" si="2"/>
        <v>22.727272727272727</v>
      </c>
    </row>
    <row r="105" spans="1:3" ht="18.75" hidden="1">
      <c r="A105" s="105">
        <v>14</v>
      </c>
      <c r="B105" s="106">
        <f t="shared" si="1"/>
        <v>2.1212121212121211</v>
      </c>
      <c r="C105" s="110">
        <f t="shared" si="2"/>
        <v>21.212121212121211</v>
      </c>
    </row>
    <row r="106" spans="1:3" ht="18.75" hidden="1">
      <c r="A106" s="105">
        <v>13</v>
      </c>
      <c r="B106" s="106">
        <f t="shared" si="1"/>
        <v>1.9696969696969695</v>
      </c>
      <c r="C106" s="110">
        <f t="shared" si="2"/>
        <v>19.696969696969695</v>
      </c>
    </row>
    <row r="107" spans="1:3" ht="18.75" hidden="1">
      <c r="A107" s="105">
        <v>12</v>
      </c>
      <c r="B107" s="106">
        <f t="shared" si="1"/>
        <v>1.8181818181818183</v>
      </c>
      <c r="C107" s="110">
        <f t="shared" si="2"/>
        <v>18.181818181818183</v>
      </c>
    </row>
    <row r="108" spans="1:3" ht="18.75" hidden="1">
      <c r="A108" s="105">
        <v>11</v>
      </c>
      <c r="B108" s="106">
        <f t="shared" si="1"/>
        <v>1.6666666666666665</v>
      </c>
      <c r="C108" s="110">
        <f t="shared" si="2"/>
        <v>16.666666666666664</v>
      </c>
    </row>
    <row r="109" spans="1:3" ht="18.75" hidden="1">
      <c r="A109" s="105">
        <v>10</v>
      </c>
      <c r="B109" s="106">
        <f t="shared" si="1"/>
        <v>1.5151515151515151</v>
      </c>
      <c r="C109" s="110">
        <f t="shared" si="2"/>
        <v>15.151515151515152</v>
      </c>
    </row>
    <row r="110" spans="1:3" ht="18.75" hidden="1">
      <c r="A110" s="105">
        <v>9</v>
      </c>
      <c r="B110" s="106">
        <f t="shared" si="1"/>
        <v>1.3636363636363635</v>
      </c>
      <c r="C110" s="110">
        <f t="shared" si="2"/>
        <v>13.636363636363635</v>
      </c>
    </row>
    <row r="111" spans="1:3" ht="18.75" hidden="1">
      <c r="A111" s="105">
        <v>8</v>
      </c>
      <c r="B111" s="106">
        <f t="shared" si="1"/>
        <v>1.2121212121212122</v>
      </c>
      <c r="C111" s="110">
        <f t="shared" si="2"/>
        <v>12.121212121212121</v>
      </c>
    </row>
    <row r="112" spans="1:3" ht="18.75" hidden="1">
      <c r="A112" s="105">
        <v>7</v>
      </c>
      <c r="B112" s="106">
        <f t="shared" si="1"/>
        <v>1.0606060606060606</v>
      </c>
      <c r="C112" s="110">
        <f t="shared" si="2"/>
        <v>10.606060606060606</v>
      </c>
    </row>
    <row r="113" spans="1:4" ht="18.75" hidden="1">
      <c r="A113" s="105">
        <v>6</v>
      </c>
      <c r="B113" s="106">
        <f t="shared" si="1"/>
        <v>0.90909090909090917</v>
      </c>
      <c r="C113" s="110">
        <f t="shared" si="2"/>
        <v>9.0909090909090917</v>
      </c>
    </row>
    <row r="114" spans="1:4" ht="18.75" hidden="1">
      <c r="A114" s="105">
        <v>5</v>
      </c>
      <c r="B114" s="106">
        <f t="shared" si="1"/>
        <v>0.75757575757575757</v>
      </c>
      <c r="C114" s="110">
        <f t="shared" si="2"/>
        <v>7.5757575757575761</v>
      </c>
    </row>
    <row r="115" spans="1:4" ht="18.75" hidden="1">
      <c r="A115" s="105">
        <v>4</v>
      </c>
      <c r="B115" s="106">
        <f t="shared" si="1"/>
        <v>0.60606060606060608</v>
      </c>
      <c r="C115" s="110">
        <f t="shared" si="2"/>
        <v>6.0606060606060606</v>
      </c>
    </row>
    <row r="116" spans="1:4" ht="18.75" hidden="1">
      <c r="A116" s="105">
        <v>3</v>
      </c>
      <c r="B116" s="106">
        <f t="shared" si="1"/>
        <v>0.45454545454545459</v>
      </c>
      <c r="C116" s="110">
        <f t="shared" si="2"/>
        <v>4.5454545454545459</v>
      </c>
    </row>
    <row r="117" spans="1:4" ht="18.75" hidden="1">
      <c r="A117" s="105">
        <v>2</v>
      </c>
      <c r="B117" s="106">
        <f t="shared" si="1"/>
        <v>0.30303030303030304</v>
      </c>
      <c r="C117" s="110">
        <f t="shared" si="2"/>
        <v>3.0303030303030303</v>
      </c>
    </row>
    <row r="118" spans="1:4" ht="18.75" hidden="1">
      <c r="A118" s="105">
        <v>1</v>
      </c>
      <c r="B118" s="106">
        <f t="shared" ref="B118:B119" si="3">C118/10</f>
        <v>0.15151515151515152</v>
      </c>
      <c r="C118" s="110">
        <f t="shared" si="2"/>
        <v>1.5151515151515151</v>
      </c>
    </row>
    <row r="119" spans="1:4" ht="18.75" hidden="1">
      <c r="A119" s="105">
        <v>0</v>
      </c>
      <c r="B119" s="106">
        <f t="shared" si="3"/>
        <v>0</v>
      </c>
      <c r="C119" s="110">
        <f t="shared" si="2"/>
        <v>0</v>
      </c>
    </row>
    <row r="120" spans="1:4">
      <c r="A120" s="128" t="s">
        <v>82</v>
      </c>
      <c r="B120" s="128"/>
      <c r="C120" s="128"/>
      <c r="D120" s="128"/>
    </row>
    <row r="121" spans="1:4">
      <c r="A121" s="129"/>
      <c r="B121" s="129"/>
      <c r="C121" s="129"/>
      <c r="D121" s="73" t="s">
        <v>83</v>
      </c>
    </row>
    <row r="122" spans="1:4">
      <c r="A122" s="33" t="s">
        <v>84</v>
      </c>
      <c r="B122" s="115" t="s">
        <v>85</v>
      </c>
      <c r="C122" s="116"/>
      <c r="D122" s="73"/>
    </row>
    <row r="123" spans="1:4">
      <c r="A123" s="33"/>
      <c r="B123" s="115" t="s">
        <v>86</v>
      </c>
      <c r="C123" s="116"/>
      <c r="D123" s="73"/>
    </row>
    <row r="124" spans="1:4">
      <c r="A124" s="33"/>
      <c r="B124" s="115" t="s">
        <v>87</v>
      </c>
      <c r="C124" s="116"/>
      <c r="D124" s="73"/>
    </row>
    <row r="125" spans="1:4">
      <c r="A125" s="33"/>
      <c r="B125" s="115" t="s">
        <v>88</v>
      </c>
      <c r="C125" s="116"/>
      <c r="D125" s="73"/>
    </row>
    <row r="126" spans="1:4">
      <c r="A126" s="33"/>
      <c r="B126" s="115" t="s">
        <v>89</v>
      </c>
      <c r="C126" s="116"/>
      <c r="D126" s="73"/>
    </row>
    <row r="127" spans="1:4">
      <c r="A127" s="33"/>
      <c r="B127" s="113"/>
      <c r="C127" s="114"/>
      <c r="D127" s="73"/>
    </row>
    <row r="128" spans="1:4">
      <c r="A128" s="33" t="s">
        <v>90</v>
      </c>
      <c r="B128" s="115" t="s">
        <v>91</v>
      </c>
      <c r="C128" s="116"/>
      <c r="D128" s="73"/>
    </row>
    <row r="129" spans="1:4">
      <c r="A129" s="33"/>
      <c r="B129" s="115" t="s">
        <v>92</v>
      </c>
      <c r="C129" s="116"/>
      <c r="D129" s="73"/>
    </row>
    <row r="130" spans="1:4">
      <c r="A130" s="33"/>
      <c r="B130" s="115" t="s">
        <v>93</v>
      </c>
      <c r="C130" s="116"/>
      <c r="D130" s="73"/>
    </row>
    <row r="131" spans="1:4">
      <c r="A131" s="33"/>
      <c r="B131" s="115" t="s">
        <v>94</v>
      </c>
      <c r="C131" s="116"/>
      <c r="D131" s="73"/>
    </row>
    <row r="132" spans="1:4">
      <c r="A132" s="33"/>
      <c r="B132" s="113"/>
      <c r="C132" s="114"/>
      <c r="D132" s="73"/>
    </row>
    <row r="133" spans="1:4">
      <c r="A133" s="33" t="s">
        <v>95</v>
      </c>
      <c r="B133" s="115" t="s">
        <v>85</v>
      </c>
      <c r="C133" s="116"/>
      <c r="D133" s="73"/>
    </row>
    <row r="134" spans="1:4">
      <c r="A134" s="33"/>
      <c r="B134" s="115" t="s">
        <v>86</v>
      </c>
      <c r="C134" s="116"/>
      <c r="D134" s="73"/>
    </row>
    <row r="135" spans="1:4">
      <c r="A135" s="33"/>
      <c r="B135" s="115" t="s">
        <v>87</v>
      </c>
      <c r="C135" s="116"/>
      <c r="D135" s="73"/>
    </row>
    <row r="136" spans="1:4">
      <c r="A136" s="33"/>
      <c r="B136" s="115" t="s">
        <v>88</v>
      </c>
      <c r="C136" s="116"/>
      <c r="D136" s="73"/>
    </row>
    <row r="137" spans="1:4">
      <c r="A137" s="33"/>
      <c r="B137" s="115" t="s">
        <v>89</v>
      </c>
      <c r="C137" s="116"/>
      <c r="D137" s="73"/>
    </row>
    <row r="138" spans="1:4">
      <c r="A138" s="33"/>
      <c r="B138" s="113"/>
      <c r="C138" s="114"/>
      <c r="D138" s="73"/>
    </row>
    <row r="139" spans="1:4">
      <c r="A139" s="33" t="s">
        <v>96</v>
      </c>
      <c r="B139" s="115" t="s">
        <v>97</v>
      </c>
      <c r="C139" s="116"/>
      <c r="D139" s="73"/>
    </row>
    <row r="140" spans="1:4">
      <c r="A140" s="33"/>
      <c r="B140" s="115" t="s">
        <v>98</v>
      </c>
      <c r="C140" s="116"/>
      <c r="D140" s="73"/>
    </row>
    <row r="141" spans="1:4">
      <c r="A141" s="33"/>
      <c r="B141" s="115" t="s">
        <v>99</v>
      </c>
      <c r="C141" s="116"/>
      <c r="D141" s="73"/>
    </row>
    <row r="142" spans="1:4">
      <c r="A142" s="33"/>
      <c r="B142" s="115" t="s">
        <v>100</v>
      </c>
      <c r="C142" s="116"/>
      <c r="D142" s="73"/>
    </row>
    <row r="143" spans="1:4">
      <c r="A143" s="33"/>
      <c r="B143" s="113"/>
      <c r="C143" s="114"/>
      <c r="D143" s="73"/>
    </row>
    <row r="144" spans="1:4">
      <c r="A144" s="33" t="s">
        <v>101</v>
      </c>
      <c r="B144" s="113"/>
      <c r="C144" s="114"/>
      <c r="D144" s="73"/>
    </row>
  </sheetData>
  <sheetProtection formatCells="0" selectLockedCells="1"/>
  <mergeCells count="60">
    <mergeCell ref="A6:B6"/>
    <mergeCell ref="C2:I2"/>
    <mergeCell ref="A3:K3"/>
    <mergeCell ref="I4:I5"/>
    <mergeCell ref="J4:J5"/>
    <mergeCell ref="K4:K5"/>
    <mergeCell ref="I7:I9"/>
    <mergeCell ref="J7:J9"/>
    <mergeCell ref="K7:K9"/>
    <mergeCell ref="A10:B10"/>
    <mergeCell ref="I11:I17"/>
    <mergeCell ref="J11:J17"/>
    <mergeCell ref="K11:K17"/>
    <mergeCell ref="A32:B32"/>
    <mergeCell ref="A18:B18"/>
    <mergeCell ref="I19:I21"/>
    <mergeCell ref="J19:J21"/>
    <mergeCell ref="K19:K21"/>
    <mergeCell ref="A22:B22"/>
    <mergeCell ref="I23:I25"/>
    <mergeCell ref="J23:J25"/>
    <mergeCell ref="K23:K25"/>
    <mergeCell ref="A26:B26"/>
    <mergeCell ref="A27:B27"/>
    <mergeCell ref="I28:I31"/>
    <mergeCell ref="J28:J31"/>
    <mergeCell ref="K28:K31"/>
    <mergeCell ref="B124:C124"/>
    <mergeCell ref="I33:I35"/>
    <mergeCell ref="J33:J35"/>
    <mergeCell ref="K33:K35"/>
    <mergeCell ref="A36:B36"/>
    <mergeCell ref="I37:I38"/>
    <mergeCell ref="J37:J38"/>
    <mergeCell ref="K37:K38"/>
    <mergeCell ref="D41:G41"/>
    <mergeCell ref="A120:D120"/>
    <mergeCell ref="A121:C121"/>
    <mergeCell ref="B122:C122"/>
    <mergeCell ref="B123:C123"/>
    <mergeCell ref="B136:C136"/>
    <mergeCell ref="B125:C125"/>
    <mergeCell ref="B126:C126"/>
    <mergeCell ref="B127:C127"/>
    <mergeCell ref="B128:C128"/>
    <mergeCell ref="B129:C129"/>
    <mergeCell ref="B130:C130"/>
    <mergeCell ref="B131:C131"/>
    <mergeCell ref="B132:C132"/>
    <mergeCell ref="B133:C133"/>
    <mergeCell ref="B134:C134"/>
    <mergeCell ref="B135:C135"/>
    <mergeCell ref="B143:C143"/>
    <mergeCell ref="B144:C144"/>
    <mergeCell ref="B137:C137"/>
    <mergeCell ref="B138:C138"/>
    <mergeCell ref="B139:C139"/>
    <mergeCell ref="B140:C140"/>
    <mergeCell ref="B141:C141"/>
    <mergeCell ref="B142:C142"/>
  </mergeCells>
  <pageMargins left="0.70866141732283472" right="0.70866141732283472" top="0.74803149606299213" bottom="0.74803149606299213" header="0.31496062992125984" footer="0.31496062992125984"/>
  <pageSetup paperSize="9" scale="2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2">
                <anchor moveWithCells="1" sizeWithCells="1">
                  <from>
                    <xdr:col>5</xdr:col>
                    <xdr:colOff>495300</xdr:colOff>
                    <xdr:row>41</xdr:row>
                    <xdr:rowOff>66675</xdr:rowOff>
                  </from>
                  <to>
                    <xdr:col>6</xdr:col>
                    <xdr:colOff>952500</xdr:colOff>
                    <xdr:row>42</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E18F2B4537EBC46A04CF9DA8F9B8242" ma:contentTypeVersion="7" ma:contentTypeDescription="Een nieuw document maken." ma:contentTypeScope="" ma:versionID="ad2523448256cfc5ece1e3ba5abf043f">
  <xsd:schema xmlns:xsd="http://www.w3.org/2001/XMLSchema" xmlns:xs="http://www.w3.org/2001/XMLSchema" xmlns:p="http://schemas.microsoft.com/office/2006/metadata/properties" xmlns:ns2="3007bec4-1ca3-4175-8908-d9a1495534b5" targetNamespace="http://schemas.microsoft.com/office/2006/metadata/properties" ma:root="true" ma:fieldsID="788f3d7cf9e8e8c2d5fd264bcefb40a0" ns2:_="">
    <xsd:import namespace="3007bec4-1ca3-4175-8908-d9a1495534b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007bec4-1ca3-4175-8908-d9a1495534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5DB5B5C-6125-407D-8C4B-0EEDB7638993}"/>
</file>

<file path=customXml/itemProps2.xml><?xml version="1.0" encoding="utf-8"?>
<ds:datastoreItem xmlns:ds="http://schemas.openxmlformats.org/officeDocument/2006/customXml" ds:itemID="{A74E733E-7586-490F-8F14-8784DD1F996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BBC4270F-6EBB-4F44-A905-F59F676255C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vt:i4>
      </vt:variant>
    </vt:vector>
  </HeadingPairs>
  <TitlesOfParts>
    <vt:vector size="1" baseType="lpstr">
      <vt:lpstr>Basis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veraart1973@gmail.com;"Marcel Koningstein" &lt;M.Koningstein@tcrmbo.nl&gt;</dc:creator>
  <cp:keywords/>
  <dc:description/>
  <cp:lastModifiedBy>Windows</cp:lastModifiedBy>
  <cp:revision/>
  <cp:lastPrinted>2020-11-24T15:24:16Z</cp:lastPrinted>
  <dcterms:created xsi:type="dcterms:W3CDTF">2020-07-27T09:29:41Z</dcterms:created>
  <dcterms:modified xsi:type="dcterms:W3CDTF">2020-12-01T10:42:09Z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0x0101001E18F2B4537EBC46A04CF9DA8F9B8242</vt:lpwstr>
  </property>
</Properties>
</file>